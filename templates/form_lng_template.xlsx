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indonesiapower-my.sharepoint.com/personal/rifkhy_fauzan_plnindonesiapower_co_id/Documents/FILE KERJAAN/NIAGA PLTGU CILEGON/RIFKHY/4. GAS/4. NOMINASI GAS/HARIAN/2026/06. JUN/"/>
    </mc:Choice>
  </mc:AlternateContent>
  <xr:revisionPtr revIDLastSave="185" documentId="13_ncr:1_{BEBCE634-5388-4591-9F8D-4D1BD930E60F}" xr6:coauthVersionLast="47" xr6:coauthVersionMax="47" xr10:uidLastSave="{8CA8D44A-936A-4AA6-B752-7E04C09B688E}"/>
  <bookViews>
    <workbookView xWindow="-108" yWindow="-108" windowWidth="23256" windowHeight="13896" xr2:uid="{00000000-000D-0000-FFFF-FFFF00000000}"/>
  </bookViews>
  <sheets>
    <sheet name="Form Nominasi GSA LNG" sheetId="1" r:id="rId1"/>
    <sheet name="Sept - Okt" sheetId="2" state="hidden" r:id="rId2"/>
  </sheets>
  <definedNames>
    <definedName name="\A" localSheetId="0">#REF!</definedName>
    <definedName name="\A" localSheetId="1">#REF!</definedName>
    <definedName name="\A">#REF!</definedName>
    <definedName name="\B" localSheetId="0">#REF!</definedName>
    <definedName name="\B" localSheetId="1">#REF!</definedName>
    <definedName name="\B">#REF!</definedName>
    <definedName name="\C" localSheetId="0">#REF!</definedName>
    <definedName name="\C" localSheetId="1">#REF!</definedName>
    <definedName name="\C">#REF!</definedName>
    <definedName name="\D" localSheetId="0">#REF!</definedName>
    <definedName name="\D" localSheetId="1">#REF!</definedName>
    <definedName name="\D">#REF!</definedName>
    <definedName name="\E" localSheetId="0">#REF!</definedName>
    <definedName name="\E" localSheetId="1">#REF!</definedName>
    <definedName name="\E">#REF!</definedName>
    <definedName name="\F" localSheetId="0">#REF!</definedName>
    <definedName name="\F" localSheetId="1">#REF!</definedName>
    <definedName name="\F">#REF!</definedName>
    <definedName name="\G" localSheetId="0">#REF!</definedName>
    <definedName name="\G" localSheetId="1">#REF!</definedName>
    <definedName name="\G">#REF!</definedName>
    <definedName name="\H" localSheetId="0">#REF!</definedName>
    <definedName name="\H" localSheetId="1">#REF!</definedName>
    <definedName name="\H">#REF!</definedName>
    <definedName name="\I" localSheetId="0">#REF!</definedName>
    <definedName name="\I" localSheetId="1">#REF!</definedName>
    <definedName name="\I">#REF!</definedName>
    <definedName name="\J" localSheetId="0">#REF!</definedName>
    <definedName name="\J" localSheetId="1">#REF!</definedName>
    <definedName name="\J">#REF!</definedName>
    <definedName name="\K" localSheetId="0">#REF!</definedName>
    <definedName name="\K" localSheetId="1">#REF!</definedName>
    <definedName name="\K">#REF!</definedName>
    <definedName name="\L" localSheetId="0">#REF!</definedName>
    <definedName name="\L" localSheetId="1">#REF!</definedName>
    <definedName name="\L">#REF!</definedName>
    <definedName name="\M" localSheetId="0">#REF!</definedName>
    <definedName name="\M" localSheetId="1">#REF!</definedName>
    <definedName name="\M">#REF!</definedName>
    <definedName name="anscount" hidden="1">3</definedName>
    <definedName name="aver" localSheetId="0">#REF!</definedName>
    <definedName name="aver" localSheetId="1">#REF!</definedName>
    <definedName name="aver">#REF!</definedName>
    <definedName name="_xlnm.Criteria" localSheetId="0">#REF!</definedName>
    <definedName name="_xlnm.Criteria" localSheetId="1">#REF!</definedName>
    <definedName name="_xlnm.Criteria">#REF!</definedName>
    <definedName name="_xlnm.Database" localSheetId="0">#REF!</definedName>
    <definedName name="_xlnm.Database" localSheetId="1">#REF!</definedName>
    <definedName name="_xlnm.Database">#REF!</definedName>
    <definedName name="Excel_BuiltIn_Print_Area_3" localSheetId="0">#REF!</definedName>
    <definedName name="Excel_BuiltIn_Print_Area_3" localSheetId="1">#REF!</definedName>
    <definedName name="Excel_BuiltIn_Print_Area_3">#REF!</definedName>
    <definedName name="Excel_BuiltIn_Print_Area_6" localSheetId="0">#REF!</definedName>
    <definedName name="Excel_BuiltIn_Print_Area_6" localSheetId="1">#REF!</definedName>
    <definedName name="Excel_BuiltIn_Print_Area_6">#REF!</definedName>
    <definedName name="_xlnm.Extract" localSheetId="0">#REF!</definedName>
    <definedName name="_xlnm.Extract" localSheetId="1">#REF!</definedName>
    <definedName name="_xlnm.Extract">#REF!</definedName>
    <definedName name="konfirmasi">#REF!</definedName>
    <definedName name="konfirmasi2">#REF!</definedName>
    <definedName name="_xlnm.Print_Area" localSheetId="0">'Form Nominasi GSA LNG'!$A$1:$R$52</definedName>
    <definedName name="_xlnm.Print_Area" localSheetId="1">'Sept - Okt'!$A$1:$T$52</definedName>
    <definedName name="PRINT_AREA_MI" localSheetId="0">#REF!</definedName>
    <definedName name="PRINT_AREA_MI" localSheetId="1">#REF!</definedName>
    <definedName name="PRINT_AREA_MI">#REF!</definedName>
    <definedName name="REVISI" localSheetId="0">#REF!</definedName>
    <definedName name="REVISI" localSheetId="1">#REF!</definedName>
    <definedName name="REVIS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13" i="1" s="1"/>
  <c r="F44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0" i="1"/>
  <c r="D51" i="2"/>
  <c r="K44" i="2"/>
  <c r="J44" i="2"/>
  <c r="I44" i="2"/>
  <c r="H44" i="2"/>
  <c r="G44" i="2"/>
  <c r="F44" i="2"/>
  <c r="J13" i="2"/>
  <c r="E6" i="2"/>
  <c r="F17" i="2" s="1"/>
  <c r="H17" i="2" s="1"/>
  <c r="J17" i="2" s="1"/>
  <c r="L17" i="2" s="1"/>
  <c r="N17" i="2" s="1"/>
  <c r="P17" i="2" s="1"/>
  <c r="R17" i="2" s="1"/>
  <c r="D51" i="1"/>
  <c r="E6" i="1"/>
  <c r="F17" i="1" s="1"/>
  <c r="H44" i="1" l="1"/>
  <c r="I13" i="1" s="1"/>
  <c r="E13" i="1"/>
</calcChain>
</file>

<file path=xl/sharedStrings.xml><?xml version="1.0" encoding="utf-8"?>
<sst xmlns="http://schemas.openxmlformats.org/spreadsheetml/2006/main" count="137" uniqueCount="58">
  <si>
    <t>Tanggal Pengajuan Nominasi</t>
  </si>
  <si>
    <t>:</t>
  </si>
  <si>
    <t>Tanggal &amp; Waktu Efektif</t>
  </si>
  <si>
    <t>Titik Penyerahan</t>
  </si>
  <si>
    <t>Receipt Point (BBTU)</t>
  </si>
  <si>
    <t>Total Nominasi</t>
  </si>
  <si>
    <t>Max Nominasi</t>
  </si>
  <si>
    <t>Jumlah Nominasi Harian</t>
  </si>
  <si>
    <t/>
  </si>
  <si>
    <t>Forecast (All unit in BBTUD)</t>
  </si>
  <si>
    <t>Date</t>
  </si>
  <si>
    <t>TOTAL</t>
  </si>
  <si>
    <t>00.00 - 01.00</t>
  </si>
  <si>
    <t>01.00 - 02.00</t>
  </si>
  <si>
    <t>02.00 - 03.00</t>
  </si>
  <si>
    <t>03.00 - 04.00</t>
  </si>
  <si>
    <t>04.00 - 05.00</t>
  </si>
  <si>
    <t>05.00 - 06.00</t>
  </si>
  <si>
    <t>06.00 - 07.00</t>
  </si>
  <si>
    <t>07.00 - 08.00</t>
  </si>
  <si>
    <t>08.00 - 09.00</t>
  </si>
  <si>
    <t>09.00 - 10.00</t>
  </si>
  <si>
    <t>10.00 - 11.00</t>
  </si>
  <si>
    <t>11.00 - 12.00</t>
  </si>
  <si>
    <t>12.00 - 13.00</t>
  </si>
  <si>
    <t>13.00 - 14.00</t>
  </si>
  <si>
    <t>14.00 - 15.00</t>
  </si>
  <si>
    <t>15.00 - 16.00</t>
  </si>
  <si>
    <t xml:space="preserve">16.00 - 17.00 </t>
  </si>
  <si>
    <t>17.00 - 18.00</t>
  </si>
  <si>
    <t>18.00 - 19.00</t>
  </si>
  <si>
    <t>19.00 - 20.00</t>
  </si>
  <si>
    <t>20.00 - 21.00</t>
  </si>
  <si>
    <t>21.00 - 22.00</t>
  </si>
  <si>
    <t>22.00 - 23.00</t>
  </si>
  <si>
    <t>23.00 - 24.00</t>
  </si>
  <si>
    <t>Average per Day</t>
  </si>
  <si>
    <t>Name</t>
  </si>
  <si>
    <t>Position</t>
  </si>
  <si>
    <t>Sign</t>
  </si>
  <si>
    <t>Min Nominasi</t>
  </si>
  <si>
    <t>PLN</t>
  </si>
  <si>
    <t>NOMINASI PER HARI</t>
  </si>
  <si>
    <t>pukul 16:00</t>
  </si>
  <si>
    <t>pukul 00:00</t>
  </si>
  <si>
    <t>Rincian Nominasi</t>
  </si>
  <si>
    <t>Min Kontrak</t>
  </si>
  <si>
    <t>STASIUN PENGUKUR GAS PLTGU CILEGON</t>
  </si>
  <si>
    <t>Tambahan Gas Kepmen 135/2021</t>
  </si>
  <si>
    <t>Interruptible Tiering 1</t>
  </si>
  <si>
    <t>Interruptible Tiering 2</t>
  </si>
  <si>
    <t>Max Kontrak</t>
  </si>
  <si>
    <t>SWAP LNG</t>
  </si>
  <si>
    <t>Nominasi</t>
  </si>
  <si>
    <t>Manager Operasi</t>
  </si>
  <si>
    <t>Total
Nominasi</t>
  </si>
  <si>
    <t xml:space="preserve">Total </t>
  </si>
  <si>
    <t>STOCK LNG PLN 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</si>
</sst>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\ &quot;SFr.&quot;_-;[Red]#,##0\ &quot;SFr.&quot;\-"/>
    <numFmt numFmtId="167" formatCode="0.000"/>
    <numFmt numFmtId="168" formatCode="0.0_ ;\-0.0\ "/>
    <numFmt numFmtId="169" formatCode="_(* #,##0.00_);_(* \(#,##0.00\);_(* \-??_);_(@_)"/>
    <numFmt numFmtId="170" formatCode="0.0000"/>
    <numFmt numFmtId="171" formatCode="mm/dd/yy"/>
    <numFmt numFmtId="172" formatCode="0.00000"/>
    <numFmt numFmtId="173" formatCode="_(* #,##0_);_(* \(#,##0\);_(* \-_);_(@_)"/>
    <numFmt numFmtId="174" formatCode="[$-409]d\-mmm\-yy;@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Trebuchet MS"/>
      <family val="2"/>
    </font>
    <font>
      <sz val="11"/>
      <name val="Book Antiqua"/>
      <family val="1"/>
    </font>
    <font>
      <sz val="11"/>
      <name val="Century Gothic"/>
      <family val="1"/>
    </font>
    <font>
      <b/>
      <sz val="1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rgb="FF000090"/>
      <name val="Book Antiqua"/>
      <family val="1"/>
    </font>
    <font>
      <sz val="11"/>
      <color rgb="FF000000"/>
      <name val="Arial"/>
      <family val="2"/>
    </font>
    <font>
      <sz val="14"/>
      <color theme="1"/>
      <name val="Arial"/>
      <family val="2"/>
    </font>
    <font>
      <sz val="11"/>
      <color rgb="FF000090"/>
      <name val="Arial"/>
      <family val="2"/>
    </font>
    <font>
      <sz val="11"/>
      <color indexed="18"/>
      <name val="Arial"/>
      <family val="2"/>
    </font>
    <font>
      <b/>
      <sz val="11"/>
      <color rgb="FF000090"/>
      <name val="Arial"/>
      <family val="2"/>
    </font>
    <font>
      <b/>
      <sz val="11"/>
      <color rgb="FF000000"/>
      <name val="Arial"/>
      <family val="2"/>
    </font>
    <font>
      <sz val="14"/>
      <color indexed="18"/>
      <name val="Arial"/>
      <family val="2"/>
    </font>
    <font>
      <b/>
      <i/>
      <sz val="11"/>
      <name val="Arial"/>
      <family val="2"/>
    </font>
    <font>
      <b/>
      <sz val="11"/>
      <name val="Century Gothic"/>
      <family val="1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indexed="18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indexed="16"/>
      <name val="MS Serif"/>
      <charset val="134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8"/>
      <color indexed="8"/>
      <name val="Helv"/>
      <charset val="134"/>
    </font>
    <font>
      <sz val="10"/>
      <name val="MS Serif"/>
      <charset val="134"/>
    </font>
    <font>
      <sz val="8"/>
      <name val="Arial"/>
      <family val="2"/>
    </font>
    <font>
      <b/>
      <sz val="12"/>
      <name val="Arial"/>
      <family val="2"/>
    </font>
    <font>
      <sz val="8"/>
      <name val="Helv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90">
    <xf numFmtId="0" fontId="0" fillId="0" borderId="0"/>
    <xf numFmtId="165" fontId="22" fillId="0" borderId="0" applyFont="0" applyFill="0" applyBorder="0" applyAlignment="0" applyProtection="0"/>
    <xf numFmtId="0" fontId="23" fillId="0" borderId="0"/>
    <xf numFmtId="166" fontId="8" fillId="0" borderId="0"/>
    <xf numFmtId="43" fontId="8" fillId="0" borderId="0" applyFont="0" applyFill="0" applyBorder="0" applyAlignment="0" applyProtection="0"/>
    <xf numFmtId="166" fontId="8" fillId="0" borderId="0"/>
    <xf numFmtId="0" fontId="8" fillId="0" borderId="0"/>
    <xf numFmtId="164" fontId="24" fillId="0" borderId="0" applyFont="0" applyFill="0" applyBorder="0" applyAlignment="0" applyProtection="0"/>
    <xf numFmtId="0" fontId="22" fillId="0" borderId="0"/>
    <xf numFmtId="168" fontId="8" fillId="0" borderId="0" applyFill="0" applyBorder="0" applyAlignment="0"/>
    <xf numFmtId="164" fontId="8" fillId="0" borderId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0" fontId="26" fillId="0" borderId="0"/>
    <xf numFmtId="43" fontId="8" fillId="0" borderId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4" fontId="27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4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64" fontId="8" fillId="0" borderId="0" applyFont="0" applyFill="0" applyBorder="0" applyAlignment="0" applyProtection="0"/>
    <xf numFmtId="40" fontId="28" fillId="0" borderId="0" applyBorder="0">
      <alignment horizontal="right"/>
    </xf>
    <xf numFmtId="16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0" fontId="26" fillId="0" borderId="0"/>
    <xf numFmtId="0" fontId="22" fillId="0" borderId="0"/>
    <xf numFmtId="165" fontId="8" fillId="0" borderId="0" applyFont="0" applyFill="0" applyBorder="0" applyAlignment="0" applyProtection="0"/>
    <xf numFmtId="0" fontId="8" fillId="0" borderId="0"/>
    <xf numFmtId="0" fontId="22" fillId="0" borderId="0"/>
    <xf numFmtId="165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8" fillId="0" borderId="0" applyFill="0" applyBorder="0" applyAlignment="0" applyProtection="0"/>
    <xf numFmtId="0" fontId="8" fillId="0" borderId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9" fillId="0" borderId="0" applyNumberFormat="0" applyAlignment="0">
      <alignment horizontal="left"/>
    </xf>
    <xf numFmtId="0" fontId="25" fillId="0" borderId="0" applyNumberFormat="0" applyAlignment="0">
      <alignment horizontal="left"/>
    </xf>
    <xf numFmtId="170" fontId="8" fillId="0" borderId="0" applyFont="0" applyFill="0" applyBorder="0" applyAlignment="0" applyProtection="0"/>
    <xf numFmtId="38" fontId="30" fillId="7" borderId="0" applyNumberFormat="0" applyBorder="0" applyAlignment="0" applyProtection="0"/>
    <xf numFmtId="0" fontId="31" fillId="0" borderId="22" applyNumberFormat="0" applyAlignment="0" applyProtection="0">
      <alignment horizontal="left" vertical="center"/>
    </xf>
    <xf numFmtId="0" fontId="31" fillId="0" borderId="5">
      <alignment horizontal="left" vertical="center"/>
    </xf>
    <xf numFmtId="0" fontId="31" fillId="0" borderId="5">
      <alignment horizontal="left" vertical="center"/>
    </xf>
    <xf numFmtId="10" fontId="30" fillId="8" borderId="6" applyNumberFormat="0" applyBorder="0" applyAlignment="0" applyProtection="0"/>
    <xf numFmtId="10" fontId="30" fillId="8" borderId="6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171" fontId="32" fillId="0" borderId="0" applyNumberFormat="0" applyFill="0" applyBorder="0" applyAlignment="0" applyProtection="0">
      <alignment horizontal="left"/>
    </xf>
    <xf numFmtId="0" fontId="8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8" fillId="0" borderId="0"/>
    <xf numFmtId="10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4">
    <xf numFmtId="0" fontId="0" fillId="0" borderId="0" xfId="0"/>
    <xf numFmtId="0" fontId="2" fillId="0" borderId="0" xfId="127" applyFont="1"/>
    <xf numFmtId="0" fontId="3" fillId="0" borderId="0" xfId="127" applyFont="1"/>
    <xf numFmtId="0" fontId="4" fillId="0" borderId="0" xfId="127" applyFont="1"/>
    <xf numFmtId="0" fontId="4" fillId="2" borderId="1" xfId="127" applyFont="1" applyFill="1" applyBorder="1"/>
    <xf numFmtId="0" fontId="4" fillId="2" borderId="2" xfId="127" applyFont="1" applyFill="1" applyBorder="1"/>
    <xf numFmtId="0" fontId="2" fillId="2" borderId="3" xfId="127" applyFont="1" applyFill="1" applyBorder="1"/>
    <xf numFmtId="0" fontId="3" fillId="2" borderId="3" xfId="127" applyFont="1" applyFill="1" applyBorder="1"/>
    <xf numFmtId="164" fontId="6" fillId="2" borderId="0" xfId="21" applyFont="1" applyFill="1" applyBorder="1"/>
    <xf numFmtId="0" fontId="6" fillId="2" borderId="0" xfId="127" applyFont="1" applyFill="1"/>
    <xf numFmtId="0" fontId="7" fillId="2" borderId="0" xfId="127" applyFont="1" applyFill="1" applyAlignment="1">
      <alignment horizontal="right"/>
    </xf>
    <xf numFmtId="0" fontId="7" fillId="2" borderId="0" xfId="127" applyFont="1" applyFill="1"/>
    <xf numFmtId="173" fontId="6" fillId="2" borderId="0" xfId="2" applyNumberFormat="1" applyFont="1" applyFill="1" applyAlignment="1">
      <alignment vertical="center"/>
    </xf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2" borderId="3" xfId="127" applyFont="1" applyFill="1" applyBorder="1" applyAlignment="1">
      <alignment vertical="center"/>
    </xf>
    <xf numFmtId="0" fontId="3" fillId="2" borderId="3" xfId="127" applyFont="1" applyFill="1" applyBorder="1" applyAlignment="1">
      <alignment vertical="center" wrapText="1"/>
    </xf>
    <xf numFmtId="0" fontId="6" fillId="2" borderId="0" xfId="2" applyFont="1" applyFill="1" applyAlignment="1">
      <alignment horizontal="center" vertical="center"/>
    </xf>
    <xf numFmtId="173" fontId="7" fillId="2" borderId="0" xfId="2" applyNumberFormat="1" applyFont="1" applyFill="1" applyAlignment="1">
      <alignment vertical="center"/>
    </xf>
    <xf numFmtId="164" fontId="7" fillId="2" borderId="0" xfId="21" applyFont="1" applyFill="1" applyBorder="1"/>
    <xf numFmtId="0" fontId="7" fillId="2" borderId="0" xfId="2" applyFont="1" applyFill="1" applyAlignment="1">
      <alignment vertical="center"/>
    </xf>
    <xf numFmtId="0" fontId="6" fillId="2" borderId="0" xfId="2" applyFont="1" applyFill="1" applyAlignment="1">
      <alignment horizontal="right" vertical="center"/>
    </xf>
    <xf numFmtId="2" fontId="7" fillId="2" borderId="0" xfId="2" applyNumberFormat="1" applyFont="1" applyFill="1" applyAlignment="1">
      <alignment horizontal="center" vertical="center"/>
    </xf>
    <xf numFmtId="2" fontId="6" fillId="2" borderId="0" xfId="2" applyNumberFormat="1" applyFont="1" applyFill="1" applyAlignment="1">
      <alignment horizontal="center" vertical="center"/>
    </xf>
    <xf numFmtId="0" fontId="7" fillId="2" borderId="0" xfId="2" applyFont="1" applyFill="1" applyAlignment="1">
      <alignment horizontal="right" vertical="center"/>
    </xf>
    <xf numFmtId="0" fontId="6" fillId="4" borderId="8" xfId="2" applyFont="1" applyFill="1" applyBorder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8" fillId="4" borderId="6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vertical="center"/>
    </xf>
    <xf numFmtId="0" fontId="10" fillId="2" borderId="6" xfId="2" applyFont="1" applyFill="1" applyBorder="1" applyAlignment="1">
      <alignment horizontal="center" vertical="center"/>
    </xf>
    <xf numFmtId="2" fontId="11" fillId="2" borderId="6" xfId="2" applyNumberFormat="1" applyFont="1" applyFill="1" applyBorder="1" applyAlignment="1">
      <alignment horizontal="center" vertical="center"/>
    </xf>
    <xf numFmtId="2" fontId="11" fillId="0" borderId="6" xfId="64" applyNumberFormat="1" applyFont="1" applyFill="1" applyBorder="1" applyAlignment="1">
      <alignment horizontal="center" vertical="center"/>
    </xf>
    <xf numFmtId="0" fontId="4" fillId="2" borderId="3" xfId="127" applyFont="1" applyFill="1" applyBorder="1"/>
    <xf numFmtId="0" fontId="12" fillId="2" borderId="0" xfId="2" applyFont="1" applyFill="1" applyAlignment="1">
      <alignment vertical="center"/>
    </xf>
    <xf numFmtId="167" fontId="12" fillId="2" borderId="0" xfId="2" applyNumberFormat="1" applyFont="1" applyFill="1" applyAlignment="1">
      <alignment horizontal="center" vertical="center"/>
    </xf>
    <xf numFmtId="0" fontId="10" fillId="2" borderId="0" xfId="2" applyFont="1" applyFill="1" applyAlignment="1">
      <alignment vertical="center"/>
    </xf>
    <xf numFmtId="0" fontId="13" fillId="2" borderId="0" xfId="127" applyFont="1" applyFill="1" applyAlignment="1">
      <alignment vertical="center"/>
    </xf>
    <xf numFmtId="0" fontId="14" fillId="2" borderId="0" xfId="2" applyFont="1" applyFill="1" applyAlignment="1">
      <alignment vertical="center"/>
    </xf>
    <xf numFmtId="0" fontId="13" fillId="2" borderId="0" xfId="127" applyFont="1" applyFill="1" applyAlignment="1">
      <alignment horizontal="left" vertical="center"/>
    </xf>
    <xf numFmtId="0" fontId="13" fillId="2" borderId="0" xfId="127" applyFont="1" applyFill="1" applyAlignment="1">
      <alignment horizontal="left"/>
    </xf>
    <xf numFmtId="0" fontId="15" fillId="4" borderId="6" xfId="2" applyFont="1" applyFill="1" applyBorder="1" applyAlignment="1">
      <alignment horizontal="center" vertical="center"/>
    </xf>
    <xf numFmtId="2" fontId="16" fillId="4" borderId="6" xfId="127" applyNumberFormat="1" applyFont="1" applyFill="1" applyBorder="1" applyAlignment="1">
      <alignment horizontal="center" vertical="center"/>
    </xf>
    <xf numFmtId="0" fontId="6" fillId="2" borderId="0" xfId="127" applyFont="1" applyFill="1" applyAlignment="1">
      <alignment horizontal="left"/>
    </xf>
    <xf numFmtId="173" fontId="6" fillId="2" borderId="6" xfId="2" applyNumberFormat="1" applyFont="1" applyFill="1" applyBorder="1" applyAlignment="1">
      <alignment vertical="center"/>
    </xf>
    <xf numFmtId="167" fontId="6" fillId="2" borderId="0" xfId="2" applyNumberFormat="1" applyFont="1" applyFill="1" applyAlignment="1">
      <alignment horizontal="center" vertical="center"/>
    </xf>
    <xf numFmtId="0" fontId="4" fillId="0" borderId="10" xfId="127" applyFont="1" applyBorder="1" applyAlignment="1">
      <alignment horizontal="center"/>
    </xf>
    <xf numFmtId="0" fontId="12" fillId="0" borderId="0" xfId="2" applyFont="1" applyAlignment="1">
      <alignment vertical="center"/>
    </xf>
    <xf numFmtId="167" fontId="4" fillId="0" borderId="0" xfId="127" applyNumberFormat="1" applyFont="1"/>
    <xf numFmtId="0" fontId="3" fillId="2" borderId="0" xfId="127" applyFont="1" applyFill="1"/>
    <xf numFmtId="0" fontId="6" fillId="0" borderId="0" xfId="2" applyFont="1" applyAlignment="1">
      <alignment horizontal="center" vertical="center"/>
    </xf>
    <xf numFmtId="2" fontId="7" fillId="0" borderId="0" xfId="1" applyNumberFormat="1" applyFont="1" applyFill="1" applyBorder="1" applyAlignment="1">
      <alignment horizontal="center" vertical="center"/>
    </xf>
    <xf numFmtId="0" fontId="17" fillId="2" borderId="0" xfId="2" applyFont="1" applyFill="1" applyAlignment="1">
      <alignment horizontal="center" vertical="center" wrapText="1"/>
    </xf>
    <xf numFmtId="2" fontId="7" fillId="2" borderId="0" xfId="127" applyNumberFormat="1" applyFont="1" applyFill="1" applyAlignment="1">
      <alignment horizontal="center"/>
    </xf>
    <xf numFmtId="2" fontId="6" fillId="2" borderId="0" xfId="2" applyNumberFormat="1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167" fontId="13" fillId="2" borderId="0" xfId="127" applyNumberFormat="1" applyFont="1" applyFill="1" applyAlignment="1">
      <alignment horizontal="left"/>
    </xf>
    <xf numFmtId="2" fontId="6" fillId="2" borderId="0" xfId="2" applyNumberFormat="1" applyFont="1" applyFill="1" applyAlignment="1">
      <alignment vertical="center"/>
    </xf>
    <xf numFmtId="167" fontId="6" fillId="6" borderId="11" xfId="2" applyNumberFormat="1" applyFont="1" applyFill="1" applyBorder="1" applyAlignment="1">
      <alignment horizontal="left" vertical="center"/>
    </xf>
    <xf numFmtId="167" fontId="6" fillId="6" borderId="0" xfId="2" applyNumberFormat="1" applyFont="1" applyFill="1" applyAlignment="1">
      <alignment horizontal="left" vertical="center"/>
    </xf>
    <xf numFmtId="0" fontId="18" fillId="6" borderId="0" xfId="127" applyFont="1" applyFill="1" applyAlignment="1">
      <alignment vertical="top"/>
    </xf>
    <xf numFmtId="0" fontId="6" fillId="6" borderId="11" xfId="127" applyFont="1" applyFill="1" applyBorder="1" applyAlignment="1">
      <alignment horizontal="left" vertical="center"/>
    </xf>
    <xf numFmtId="0" fontId="6" fillId="6" borderId="0" xfId="127" applyFont="1" applyFill="1" applyAlignment="1">
      <alignment horizontal="left" vertical="center"/>
    </xf>
    <xf numFmtId="0" fontId="3" fillId="6" borderId="0" xfId="127" applyFont="1" applyFill="1" applyAlignment="1">
      <alignment horizontal="center"/>
    </xf>
    <xf numFmtId="174" fontId="6" fillId="2" borderId="0" xfId="2" applyNumberFormat="1" applyFont="1" applyFill="1" applyAlignment="1">
      <alignment horizontal="left" vertical="center"/>
    </xf>
    <xf numFmtId="174" fontId="6" fillId="2" borderId="0" xfId="2" applyNumberFormat="1" applyFont="1" applyFill="1" applyAlignment="1">
      <alignment vertical="center"/>
    </xf>
    <xf numFmtId="0" fontId="4" fillId="6" borderId="14" xfId="127" applyFont="1" applyFill="1" applyBorder="1"/>
    <xf numFmtId="0" fontId="4" fillId="6" borderId="15" xfId="127" applyFont="1" applyFill="1" applyBorder="1"/>
    <xf numFmtId="0" fontId="3" fillId="6" borderId="15" xfId="127" applyFont="1" applyFill="1" applyBorder="1" applyAlignment="1">
      <alignment horizontal="center"/>
    </xf>
    <xf numFmtId="0" fontId="19" fillId="2" borderId="0" xfId="0" applyFont="1" applyFill="1"/>
    <xf numFmtId="167" fontId="7" fillId="2" borderId="0" xfId="2" applyNumberFormat="1" applyFont="1" applyFill="1" applyAlignment="1">
      <alignment horizontal="center" vertical="center"/>
    </xf>
    <xf numFmtId="174" fontId="6" fillId="0" borderId="11" xfId="127" applyNumberFormat="1" applyFont="1" applyBorder="1" applyAlignment="1">
      <alignment vertical="center"/>
    </xf>
    <xf numFmtId="174" fontId="6" fillId="0" borderId="0" xfId="127" applyNumberFormat="1" applyFont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8" fillId="0" borderId="1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2" fontId="20" fillId="0" borderId="11" xfId="64" applyNumberFormat="1" applyFont="1" applyFill="1" applyBorder="1" applyAlignment="1">
      <alignment horizontal="center" vertical="center"/>
    </xf>
    <xf numFmtId="2" fontId="11" fillId="2" borderId="0" xfId="2" applyNumberFormat="1" applyFont="1" applyFill="1" applyAlignment="1">
      <alignment horizontal="center" vertical="center"/>
    </xf>
    <xf numFmtId="2" fontId="11" fillId="0" borderId="0" xfId="64" applyNumberFormat="1" applyFont="1" applyFill="1" applyBorder="1" applyAlignment="1">
      <alignment horizontal="center" vertical="center"/>
    </xf>
    <xf numFmtId="2" fontId="20" fillId="0" borderId="0" xfId="64" applyNumberFormat="1" applyFont="1" applyFill="1" applyBorder="1" applyAlignment="1">
      <alignment horizontal="center" vertical="center"/>
    </xf>
    <xf numFmtId="2" fontId="21" fillId="4" borderId="11" xfId="127" applyNumberFormat="1" applyFont="1" applyFill="1" applyBorder="1" applyAlignment="1">
      <alignment horizontal="center" vertical="center"/>
    </xf>
    <xf numFmtId="2" fontId="16" fillId="4" borderId="0" xfId="127" applyNumberFormat="1" applyFont="1" applyFill="1" applyAlignment="1">
      <alignment horizontal="center" vertical="center"/>
    </xf>
    <xf numFmtId="2" fontId="21" fillId="4" borderId="0" xfId="127" applyNumberFormat="1" applyFont="1" applyFill="1" applyAlignment="1">
      <alignment horizontal="center" vertical="center"/>
    </xf>
    <xf numFmtId="0" fontId="0" fillId="2" borderId="0" xfId="0" applyFill="1"/>
    <xf numFmtId="0" fontId="19" fillId="6" borderId="0" xfId="0" applyFont="1" applyFill="1"/>
    <xf numFmtId="0" fontId="4" fillId="6" borderId="17" xfId="127" applyFont="1" applyFill="1" applyBorder="1"/>
    <xf numFmtId="0" fontId="4" fillId="6" borderId="0" xfId="127" applyFont="1" applyFill="1"/>
    <xf numFmtId="0" fontId="4" fillId="6" borderId="18" xfId="127" applyFont="1" applyFill="1" applyBorder="1"/>
    <xf numFmtId="0" fontId="4" fillId="0" borderId="19" xfId="127" applyFont="1" applyBorder="1"/>
    <xf numFmtId="164" fontId="7" fillId="3" borderId="0" xfId="21" applyFont="1" applyFill="1" applyBorder="1" applyAlignment="1">
      <alignment horizontal="center"/>
    </xf>
    <xf numFmtId="0" fontId="2" fillId="0" borderId="20" xfId="127" applyFont="1" applyBorder="1"/>
    <xf numFmtId="0" fontId="3" fillId="0" borderId="20" xfId="127" applyFont="1" applyBorder="1"/>
    <xf numFmtId="0" fontId="4" fillId="0" borderId="20" xfId="127" applyFont="1" applyBorder="1"/>
    <xf numFmtId="0" fontId="4" fillId="0" borderId="21" xfId="127" applyFont="1" applyBorder="1"/>
    <xf numFmtId="2" fontId="6" fillId="2" borderId="0" xfId="127" applyNumberFormat="1" applyFont="1" applyFill="1" applyAlignment="1">
      <alignment horizontal="left"/>
    </xf>
    <xf numFmtId="15" fontId="7" fillId="2" borderId="0" xfId="127" applyNumberFormat="1" applyFont="1" applyFill="1"/>
    <xf numFmtId="2" fontId="11" fillId="2" borderId="6" xfId="64" applyNumberFormat="1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2" fontId="10" fillId="2" borderId="6" xfId="0" applyNumberFormat="1" applyFont="1" applyFill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 wrapText="1"/>
    </xf>
    <xf numFmtId="2" fontId="7" fillId="0" borderId="6" xfId="1" applyNumberFormat="1" applyFont="1" applyFill="1" applyBorder="1" applyAlignment="1">
      <alignment horizontal="center" vertical="center"/>
    </xf>
    <xf numFmtId="2" fontId="7" fillId="2" borderId="6" xfId="1" applyNumberFormat="1" applyFont="1" applyFill="1" applyBorder="1" applyAlignment="1">
      <alignment horizontal="center" vertical="center"/>
    </xf>
    <xf numFmtId="0" fontId="6" fillId="4" borderId="6" xfId="2" applyFont="1" applyFill="1" applyBorder="1" applyAlignment="1">
      <alignment horizontal="center" vertical="center"/>
    </xf>
    <xf numFmtId="0" fontId="6" fillId="4" borderId="7" xfId="2" applyFont="1" applyFill="1" applyBorder="1" applyAlignment="1">
      <alignment horizontal="center" vertical="center"/>
    </xf>
    <xf numFmtId="174" fontId="6" fillId="5" borderId="5" xfId="127" applyNumberFormat="1" applyFont="1" applyFill="1" applyBorder="1" applyAlignment="1">
      <alignment vertical="center"/>
    </xf>
    <xf numFmtId="2" fontId="10" fillId="2" borderId="4" xfId="0" applyNumberFormat="1" applyFont="1" applyFill="1" applyBorder="1" applyAlignment="1">
      <alignment horizontal="center" vertical="center" wrapText="1"/>
    </xf>
    <xf numFmtId="2" fontId="10" fillId="2" borderId="7" xfId="0" applyNumberFormat="1" applyFont="1" applyFill="1" applyBorder="1" applyAlignment="1">
      <alignment horizontal="center" vertical="center" wrapText="1"/>
    </xf>
    <xf numFmtId="164" fontId="5" fillId="3" borderId="0" xfId="21" applyFont="1" applyFill="1" applyBorder="1" applyAlignment="1">
      <alignment horizontal="center"/>
    </xf>
    <xf numFmtId="174" fontId="6" fillId="5" borderId="4" xfId="127" applyNumberFormat="1" applyFont="1" applyFill="1" applyBorder="1" applyAlignment="1">
      <alignment horizontal="center" vertical="center"/>
    </xf>
    <xf numFmtId="174" fontId="6" fillId="5" borderId="7" xfId="127" applyNumberFormat="1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0" borderId="8" xfId="2" applyFont="1" applyBorder="1" applyAlignment="1">
      <alignment horizontal="center" vertical="center" wrapText="1"/>
    </xf>
    <xf numFmtId="0" fontId="7" fillId="0" borderId="23" xfId="2" applyFont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2" fontId="10" fillId="2" borderId="7" xfId="0" applyNumberFormat="1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174" fontId="6" fillId="5" borderId="5" xfId="127" applyNumberFormat="1" applyFont="1" applyFill="1" applyBorder="1" applyAlignment="1">
      <alignment horizontal="center" vertical="center"/>
    </xf>
    <xf numFmtId="0" fontId="4" fillId="0" borderId="9" xfId="127" applyFont="1" applyBorder="1" applyAlignment="1">
      <alignment horizontal="center"/>
    </xf>
    <xf numFmtId="0" fontId="4" fillId="0" borderId="10" xfId="127" applyFont="1" applyBorder="1" applyAlignment="1">
      <alignment horizontal="center"/>
    </xf>
    <xf numFmtId="173" fontId="6" fillId="2" borderId="6" xfId="2" applyNumberFormat="1" applyFont="1" applyFill="1" applyBorder="1" applyAlignment="1">
      <alignment horizontal="left" vertical="center"/>
    </xf>
    <xf numFmtId="0" fontId="7" fillId="4" borderId="6" xfId="2" applyFont="1" applyFill="1" applyBorder="1" applyAlignment="1">
      <alignment horizontal="center" vertical="center"/>
    </xf>
    <xf numFmtId="2" fontId="6" fillId="2" borderId="6" xfId="2" applyNumberFormat="1" applyFont="1" applyFill="1" applyBorder="1" applyAlignment="1">
      <alignment horizontal="left" vertical="center"/>
    </xf>
    <xf numFmtId="0" fontId="7" fillId="5" borderId="6" xfId="2" applyFont="1" applyFill="1" applyBorder="1" applyAlignment="1">
      <alignment horizontal="center" vertical="center"/>
    </xf>
    <xf numFmtId="167" fontId="7" fillId="6" borderId="12" xfId="2" applyNumberFormat="1" applyFont="1" applyFill="1" applyBorder="1" applyAlignment="1">
      <alignment horizontal="center" vertical="center" wrapText="1"/>
    </xf>
    <xf numFmtId="167" fontId="7" fillId="6" borderId="13" xfId="2" applyNumberFormat="1" applyFont="1" applyFill="1" applyBorder="1" applyAlignment="1">
      <alignment horizontal="center" vertical="center" wrapText="1"/>
    </xf>
    <xf numFmtId="167" fontId="7" fillId="6" borderId="16" xfId="2" applyNumberFormat="1" applyFont="1" applyFill="1" applyBorder="1" applyAlignment="1">
      <alignment horizontal="center" vertical="center" wrapText="1"/>
    </xf>
    <xf numFmtId="174" fontId="6" fillId="2" borderId="6" xfId="2" applyNumberFormat="1" applyFont="1" applyFill="1" applyBorder="1" applyAlignment="1">
      <alignment horizontal="left" vertical="center"/>
    </xf>
    <xf numFmtId="0" fontId="6" fillId="4" borderId="4" xfId="2" applyFont="1" applyFill="1" applyBorder="1" applyAlignment="1">
      <alignment horizontal="center" vertical="center"/>
    </xf>
    <xf numFmtId="0" fontId="6" fillId="4" borderId="7" xfId="2" applyFont="1" applyFill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</cellXfs>
  <cellStyles count="190">
    <cellStyle name="Calc Currency (0)" xfId="9" xr:uid="{00000000-0005-0000-0000-000000000000}"/>
    <cellStyle name="Comma" xfId="1" builtinId="3"/>
    <cellStyle name="Comma  - Style1" xfId="3" xr:uid="{00000000-0005-0000-0000-000002000000}"/>
    <cellStyle name="Comma  - Style2" xfId="11" xr:uid="{00000000-0005-0000-0000-000003000000}"/>
    <cellStyle name="Comma  - Style3" xfId="12" xr:uid="{00000000-0005-0000-0000-000004000000}"/>
    <cellStyle name="Comma  - Style4" xfId="13" xr:uid="{00000000-0005-0000-0000-000005000000}"/>
    <cellStyle name="Comma  - Style5" xfId="16" xr:uid="{00000000-0005-0000-0000-000006000000}"/>
    <cellStyle name="Comma  - Style6" xfId="17" xr:uid="{00000000-0005-0000-0000-000007000000}"/>
    <cellStyle name="Comma  - Style7" xfId="18" xr:uid="{00000000-0005-0000-0000-000008000000}"/>
    <cellStyle name="Comma  - Style8" xfId="5" xr:uid="{00000000-0005-0000-0000-000009000000}"/>
    <cellStyle name="Comma [0] 2" xfId="19" xr:uid="{00000000-0005-0000-0000-00000A000000}"/>
    <cellStyle name="Comma [0] 2 2" xfId="7" xr:uid="{00000000-0005-0000-0000-00000B000000}"/>
    <cellStyle name="Comma [0] 2 2 2" xfId="20" xr:uid="{00000000-0005-0000-0000-00000C000000}"/>
    <cellStyle name="Comma [0] 2 2 2 2" xfId="136" xr:uid="{9363AF1A-21DF-4E55-A501-061EBCA50848}"/>
    <cellStyle name="Comma [0] 2 2 3" xfId="132" xr:uid="{6D8A0759-F33D-43F4-9678-9A9B9267F17E}"/>
    <cellStyle name="Comma [0] 2 3" xfId="10" xr:uid="{00000000-0005-0000-0000-00000D000000}"/>
    <cellStyle name="Comma [0] 2 3 2" xfId="21" xr:uid="{00000000-0005-0000-0000-00000E000000}"/>
    <cellStyle name="Comma [0] 2 3 2 2" xfId="22" xr:uid="{00000000-0005-0000-0000-00000F000000}"/>
    <cellStyle name="Comma [0] 2 3 2 2 2" xfId="137" xr:uid="{21C9E2CB-B764-4C4B-B8FD-9A375124A4EB}"/>
    <cellStyle name="Comma [0] 2 3 3" xfId="23" xr:uid="{00000000-0005-0000-0000-000010000000}"/>
    <cellStyle name="Comma [0] 2 3 3 2" xfId="138" xr:uid="{5D260F8D-0BAA-44BC-89AF-28A21C7250BD}"/>
    <cellStyle name="Comma [0] 2 4" xfId="24" xr:uid="{00000000-0005-0000-0000-000011000000}"/>
    <cellStyle name="Comma [0] 2 4 2" xfId="25" xr:uid="{00000000-0005-0000-0000-000012000000}"/>
    <cellStyle name="Comma [0] 2 4 2 2" xfId="139" xr:uid="{E8A5859B-5753-4375-AEFB-CED808482511}"/>
    <cellStyle name="Comma [0] 2 5" xfId="26" xr:uid="{00000000-0005-0000-0000-000013000000}"/>
    <cellStyle name="Comma [0] 2 5 2" xfId="27" xr:uid="{00000000-0005-0000-0000-000014000000}"/>
    <cellStyle name="Comma [0] 2 5 2 2" xfId="141" xr:uid="{1676E9D0-3B1B-43DF-8FC8-B4DFEA481615}"/>
    <cellStyle name="Comma [0] 2 5 3" xfId="140" xr:uid="{8457BA7B-B5B7-4CF9-BE45-96FA7F1150C1}"/>
    <cellStyle name="Comma [0] 2 6" xfId="28" xr:uid="{00000000-0005-0000-0000-000015000000}"/>
    <cellStyle name="Comma [0] 2 6 2" xfId="142" xr:uid="{E60C9560-2E64-4167-8A1F-67875F9F119B}"/>
    <cellStyle name="Comma [0] 2 7" xfId="135" xr:uid="{E21A57D5-278C-48CB-B215-09BAE533A3A5}"/>
    <cellStyle name="Comma [0] 3" xfId="29" xr:uid="{00000000-0005-0000-0000-000016000000}"/>
    <cellStyle name="Comma [0] 3 2" xfId="31" xr:uid="{00000000-0005-0000-0000-000017000000}"/>
    <cellStyle name="Comma [0] 3 2 2" xfId="32" xr:uid="{00000000-0005-0000-0000-000018000000}"/>
    <cellStyle name="Comma [0] 3 2 2 2" xfId="143" xr:uid="{F081C59A-CD81-4866-B060-9F029B7A346A}"/>
    <cellStyle name="Comma [0] 3 3" xfId="33" xr:uid="{00000000-0005-0000-0000-000019000000}"/>
    <cellStyle name="Comma [0] 3 3 2" xfId="144" xr:uid="{A1A7E1FF-C7AF-419D-8241-61566DE9FFE0}"/>
    <cellStyle name="Comma [0] 4" xfId="34" xr:uid="{00000000-0005-0000-0000-00001A000000}"/>
    <cellStyle name="Comma [0] 4 2" xfId="35" xr:uid="{00000000-0005-0000-0000-00001B000000}"/>
    <cellStyle name="Comma [0] 4 2 2" xfId="145" xr:uid="{A8568F65-850D-453D-BB7C-6EE0B342FB63}"/>
    <cellStyle name="Comma [0] 5" xfId="36" xr:uid="{00000000-0005-0000-0000-00001C000000}"/>
    <cellStyle name="Comma [0] 5 2" xfId="37" xr:uid="{00000000-0005-0000-0000-00001D000000}"/>
    <cellStyle name="Comma [0] 5 2 2" xfId="147" xr:uid="{0EFB77B2-F018-4858-8432-F77228AEFAEF}"/>
    <cellStyle name="Comma [0] 5 3" xfId="146" xr:uid="{5E087B65-D92F-4B55-BB24-57428473B023}"/>
    <cellStyle name="Comma 10" xfId="40" xr:uid="{00000000-0005-0000-0000-00001E000000}"/>
    <cellStyle name="Comma 10 2" xfId="15" xr:uid="{00000000-0005-0000-0000-00001F000000}"/>
    <cellStyle name="Comma 10 2 2" xfId="134" xr:uid="{0826E401-9373-49D2-A58D-ADA11FB75A18}"/>
    <cellStyle name="Comma 11" xfId="43" xr:uid="{00000000-0005-0000-0000-000020000000}"/>
    <cellStyle name="Comma 11 2" xfId="45" xr:uid="{00000000-0005-0000-0000-000021000000}"/>
    <cellStyle name="Comma 11 2 2" xfId="150" xr:uid="{CA105130-B937-4105-BDD1-B6C0438DEC71}"/>
    <cellStyle name="Comma 12" xfId="46" xr:uid="{00000000-0005-0000-0000-000022000000}"/>
    <cellStyle name="Comma 12 2" xfId="47" xr:uid="{00000000-0005-0000-0000-000023000000}"/>
    <cellStyle name="Comma 12 2 2" xfId="151" xr:uid="{1A31C107-26A1-41C9-8B2C-E91E615EEE7B}"/>
    <cellStyle name="Comma 13" xfId="48" xr:uid="{00000000-0005-0000-0000-000024000000}"/>
    <cellStyle name="Comma 13 2" xfId="49" xr:uid="{00000000-0005-0000-0000-000025000000}"/>
    <cellStyle name="Comma 13 2 2" xfId="152" xr:uid="{CB2EECCA-17D1-445B-A2F1-39CA64ECFC42}"/>
    <cellStyle name="Comma 14" xfId="50" xr:uid="{00000000-0005-0000-0000-000026000000}"/>
    <cellStyle name="Comma 14 2" xfId="53" xr:uid="{00000000-0005-0000-0000-000027000000}"/>
    <cellStyle name="Comma 14 2 2" xfId="153" xr:uid="{75F07C3D-F541-4400-87C4-D5D4C7670F9A}"/>
    <cellStyle name="Comma 15" xfId="55" xr:uid="{00000000-0005-0000-0000-000028000000}"/>
    <cellStyle name="Comma 15 2" xfId="57" xr:uid="{00000000-0005-0000-0000-000029000000}"/>
    <cellStyle name="Comma 15 2 2" xfId="155" xr:uid="{22865957-F587-42A4-AAFE-5BAE06894E8A}"/>
    <cellStyle name="Comma 16" xfId="52" xr:uid="{00000000-0005-0000-0000-00002A000000}"/>
    <cellStyle name="Comma 16 2" xfId="59" xr:uid="{00000000-0005-0000-0000-00002B000000}"/>
    <cellStyle name="Comma 16 2 2" xfId="157" xr:uid="{85CB77A0-219F-449A-8696-D28EF9B95A5A}"/>
    <cellStyle name="Comma 17" xfId="61" xr:uid="{00000000-0005-0000-0000-00002C000000}"/>
    <cellStyle name="Comma 17 2" xfId="63" xr:uid="{00000000-0005-0000-0000-00002D000000}"/>
    <cellStyle name="Comma 17 2 2" xfId="158" xr:uid="{089CA50D-7CCD-41AB-9F13-900B82FA4EF9}"/>
    <cellStyle name="Comma 18" xfId="65" xr:uid="{00000000-0005-0000-0000-00002E000000}"/>
    <cellStyle name="Comma 18 2" xfId="66" xr:uid="{00000000-0005-0000-0000-00002F000000}"/>
    <cellStyle name="Comma 18 2 2" xfId="160" xr:uid="{4FC5E496-01CB-4E14-9639-14641477CDCB}"/>
    <cellStyle name="Comma 19" xfId="67" xr:uid="{00000000-0005-0000-0000-000030000000}"/>
    <cellStyle name="Comma 19 2" xfId="68" xr:uid="{00000000-0005-0000-0000-000031000000}"/>
    <cellStyle name="Comma 19 2 2" xfId="161" xr:uid="{E45DD990-AC22-44D4-BBC3-57DCDF72BF43}"/>
    <cellStyle name="Comma 2" xfId="69" xr:uid="{00000000-0005-0000-0000-000032000000}"/>
    <cellStyle name="Comma 2 2" xfId="70" xr:uid="{00000000-0005-0000-0000-000033000000}"/>
    <cellStyle name="Comma 2 2 2" xfId="71" xr:uid="{00000000-0005-0000-0000-000034000000}"/>
    <cellStyle name="Comma 2 2 2 2" xfId="162" xr:uid="{714B9D2C-330B-41AC-99E1-49A46F515698}"/>
    <cellStyle name="Comma 2 3" xfId="72" xr:uid="{00000000-0005-0000-0000-000035000000}"/>
    <cellStyle name="Comma 2 3 2" xfId="73" xr:uid="{00000000-0005-0000-0000-000036000000}"/>
    <cellStyle name="Comma 2 3 2 2" xfId="163" xr:uid="{C6F521DC-1566-4981-B68D-AF96CEA14D6A}"/>
    <cellStyle name="Comma 2 4" xfId="4" xr:uid="{00000000-0005-0000-0000-000037000000}"/>
    <cellStyle name="Comma 2 4 2" xfId="131" xr:uid="{AF69AD77-0835-4B64-8759-200F01CC5707}"/>
    <cellStyle name="Comma 20" xfId="54" xr:uid="{00000000-0005-0000-0000-000038000000}"/>
    <cellStyle name="Comma 20 2" xfId="56" xr:uid="{00000000-0005-0000-0000-000039000000}"/>
    <cellStyle name="Comma 20 2 2" xfId="154" xr:uid="{745E0A99-777A-48F0-B399-35E8BBE218E0}"/>
    <cellStyle name="Comma 21" xfId="51" xr:uid="{00000000-0005-0000-0000-00003A000000}"/>
    <cellStyle name="Comma 21 2" xfId="58" xr:uid="{00000000-0005-0000-0000-00003B000000}"/>
    <cellStyle name="Comma 21 2 2" xfId="156" xr:uid="{83459801-88B0-4979-985A-FC8219D3135A}"/>
    <cellStyle name="Comma 22" xfId="60" xr:uid="{00000000-0005-0000-0000-00003C000000}"/>
    <cellStyle name="Comma 22 2" xfId="62" xr:uid="{00000000-0005-0000-0000-00003D000000}"/>
    <cellStyle name="Comma 22 2 2" xfId="74" xr:uid="{00000000-0005-0000-0000-00003E000000}"/>
    <cellStyle name="Comma 22 2 2 2" xfId="164" xr:uid="{D5EF69F3-75EF-49FB-96E8-FDEE52775603}"/>
    <cellStyle name="Comma 22 3" xfId="75" xr:uid="{00000000-0005-0000-0000-00003F000000}"/>
    <cellStyle name="Comma 22 3 2" xfId="165" xr:uid="{DA43732E-9D77-47A0-B8D3-4CAD902DD32B}"/>
    <cellStyle name="Comma 23" xfId="64" xr:uid="{00000000-0005-0000-0000-000040000000}"/>
    <cellStyle name="Comma 23 2" xfId="159" xr:uid="{79115180-6126-4442-B436-8D72DB50E9C5}"/>
    <cellStyle name="Comma 24" xfId="130" xr:uid="{164ED8B9-7CC9-4405-B56E-B5D8ADF7547D}"/>
    <cellStyle name="Comma 3" xfId="76" xr:uid="{00000000-0005-0000-0000-000041000000}"/>
    <cellStyle name="Comma 3 2" xfId="77" xr:uid="{00000000-0005-0000-0000-000042000000}"/>
    <cellStyle name="Comma 4" xfId="78" xr:uid="{00000000-0005-0000-0000-000043000000}"/>
    <cellStyle name="Comma 4 2" xfId="79" xr:uid="{00000000-0005-0000-0000-000044000000}"/>
    <cellStyle name="Comma 4 2 2" xfId="80" xr:uid="{00000000-0005-0000-0000-000045000000}"/>
    <cellStyle name="Comma 4 2 2 2" xfId="166" xr:uid="{9811DDF9-119C-4C29-84C6-5A73025079A8}"/>
    <cellStyle name="Comma 4 3" xfId="81" xr:uid="{00000000-0005-0000-0000-000046000000}"/>
    <cellStyle name="Comma 4 3 2" xfId="167" xr:uid="{3ABC4C3F-19FF-4A98-B28A-A1C7A0366ACA}"/>
    <cellStyle name="Comma 5" xfId="82" xr:uid="{00000000-0005-0000-0000-000047000000}"/>
    <cellStyle name="Comma 5 2" xfId="83" xr:uid="{00000000-0005-0000-0000-000048000000}"/>
    <cellStyle name="Comma 5 2 2" xfId="168" xr:uid="{37AD3302-6DCC-416C-8C01-D02951B62D52}"/>
    <cellStyle name="Comma 6" xfId="84" xr:uid="{00000000-0005-0000-0000-000049000000}"/>
    <cellStyle name="Comma 6 2" xfId="85" xr:uid="{00000000-0005-0000-0000-00004A000000}"/>
    <cellStyle name="Comma 6 2 2" xfId="169" xr:uid="{34A9EE9C-D1E2-4EEB-AF0C-1AF33291DB61}"/>
    <cellStyle name="Comma 7" xfId="86" xr:uid="{00000000-0005-0000-0000-00004B000000}"/>
    <cellStyle name="Comma 7 2" xfId="87" xr:uid="{00000000-0005-0000-0000-00004C000000}"/>
    <cellStyle name="Comma 7 2 2" xfId="170" xr:uid="{7F5C6E26-E8D4-463E-97EB-3924C2E14B6C}"/>
    <cellStyle name="Comma 8" xfId="88" xr:uid="{00000000-0005-0000-0000-00004D000000}"/>
    <cellStyle name="Comma 8 2" xfId="89" xr:uid="{00000000-0005-0000-0000-00004E000000}"/>
    <cellStyle name="Comma 8 2 2" xfId="171" xr:uid="{AD565950-43BC-4707-A0DD-34D3F897D82D}"/>
    <cellStyle name="Comma 9" xfId="90" xr:uid="{00000000-0005-0000-0000-00004F000000}"/>
    <cellStyle name="Comma 9 2" xfId="91" xr:uid="{00000000-0005-0000-0000-000050000000}"/>
    <cellStyle name="Comma 9 2 2" xfId="172" xr:uid="{F4E53322-F661-45CD-AE32-CFE90C5FECE6}"/>
    <cellStyle name="Copied" xfId="92" xr:uid="{00000000-0005-0000-0000-000051000000}"/>
    <cellStyle name="Entered" xfId="93" xr:uid="{00000000-0005-0000-0000-000052000000}"/>
    <cellStyle name="GAS" xfId="94" xr:uid="{00000000-0005-0000-0000-000053000000}"/>
    <cellStyle name="Grey" xfId="95" xr:uid="{00000000-0005-0000-0000-000054000000}"/>
    <cellStyle name="Header1" xfId="96" xr:uid="{00000000-0005-0000-0000-000055000000}"/>
    <cellStyle name="Header2" xfId="97" xr:uid="{00000000-0005-0000-0000-000056000000}"/>
    <cellStyle name="Header2 2" xfId="98" xr:uid="{00000000-0005-0000-0000-000057000000}"/>
    <cellStyle name="Input [yellow]" xfId="99" xr:uid="{00000000-0005-0000-0000-000058000000}"/>
    <cellStyle name="Input [yellow] 2" xfId="100" xr:uid="{00000000-0005-0000-0000-000059000000}"/>
    <cellStyle name="Normal" xfId="0" builtinId="0"/>
    <cellStyle name="Normal - Style1" xfId="6" xr:uid="{00000000-0005-0000-0000-00005B000000}"/>
    <cellStyle name="Normal - Style1 2" xfId="101" xr:uid="{00000000-0005-0000-0000-00005C000000}"/>
    <cellStyle name="Normal - Style1 2 2" xfId="102" xr:uid="{00000000-0005-0000-0000-00005D000000}"/>
    <cellStyle name="Normal - Style1 3" xfId="103" xr:uid="{00000000-0005-0000-0000-00005E000000}"/>
    <cellStyle name="Normal 10" xfId="104" xr:uid="{00000000-0005-0000-0000-00005F000000}"/>
    <cellStyle name="Normal 10 2" xfId="173" xr:uid="{7D3BC23A-6BC6-43C7-8050-4686CE4DFC55}"/>
    <cellStyle name="Normal 11" xfId="105" xr:uid="{00000000-0005-0000-0000-000060000000}"/>
    <cellStyle name="Normal 11 2" xfId="174" xr:uid="{356D439A-11E4-4ADA-8DA8-601B84BC4F49}"/>
    <cellStyle name="Normal 12" xfId="106" xr:uid="{00000000-0005-0000-0000-000061000000}"/>
    <cellStyle name="Normal 12 2" xfId="175" xr:uid="{BF9B02DE-BF74-423E-B9C8-26517BB62D81}"/>
    <cellStyle name="Normal 13" xfId="107" xr:uid="{00000000-0005-0000-0000-000062000000}"/>
    <cellStyle name="Normal 13 2" xfId="176" xr:uid="{EA545C98-DF75-49A4-9FB6-8565EAAACE1C}"/>
    <cellStyle name="Normal 14" xfId="108" xr:uid="{00000000-0005-0000-0000-000063000000}"/>
    <cellStyle name="Normal 14 2" xfId="177" xr:uid="{0E1BDC39-E08A-4690-9D7D-05E8F1D30FC7}"/>
    <cellStyle name="Normal 15" xfId="110" xr:uid="{00000000-0005-0000-0000-000064000000}"/>
    <cellStyle name="Normal 15 2" xfId="179" xr:uid="{E72306A5-0831-449E-8FF0-07EBB69A84AF}"/>
    <cellStyle name="Normal 16" xfId="112" xr:uid="{00000000-0005-0000-0000-000065000000}"/>
    <cellStyle name="Normal 16 2" xfId="181" xr:uid="{FA8CC056-0102-40D9-AA00-AD1E4130ED35}"/>
    <cellStyle name="Normal 17" xfId="114" xr:uid="{00000000-0005-0000-0000-000066000000}"/>
    <cellStyle name="Normal 17 2" xfId="183" xr:uid="{7064326B-3AC9-46E0-AC46-A8AD23B41711}"/>
    <cellStyle name="Normal 18" xfId="39" xr:uid="{00000000-0005-0000-0000-000067000000}"/>
    <cellStyle name="Normal 18 2" xfId="148" xr:uid="{3132E3F6-670A-45C4-BF75-197E29F52D35}"/>
    <cellStyle name="Normal 19" xfId="42" xr:uid="{00000000-0005-0000-0000-000068000000}"/>
    <cellStyle name="Normal 19 2" xfId="149" xr:uid="{2F4F5EDE-204E-4F6E-AFE7-11AE8B8F8928}"/>
    <cellStyle name="Normal 2" xfId="115" xr:uid="{00000000-0005-0000-0000-000069000000}"/>
    <cellStyle name="Normal 2 2" xfId="116" xr:uid="{00000000-0005-0000-0000-00006A000000}"/>
    <cellStyle name="Normal 2 3" xfId="117" xr:uid="{00000000-0005-0000-0000-00006B000000}"/>
    <cellStyle name="Normal 2 3 2" xfId="118" xr:uid="{00000000-0005-0000-0000-00006C000000}"/>
    <cellStyle name="Normal 20" xfId="109" xr:uid="{00000000-0005-0000-0000-00006D000000}"/>
    <cellStyle name="Normal 20 2" xfId="178" xr:uid="{E8725CED-1CDA-42F4-8C80-4C345C89F54E}"/>
    <cellStyle name="Normal 21" xfId="111" xr:uid="{00000000-0005-0000-0000-00006E000000}"/>
    <cellStyle name="Normal 21 2" xfId="180" xr:uid="{5E0FA3EB-6B7E-421A-90A1-CDBC88873838}"/>
    <cellStyle name="Normal 22" xfId="113" xr:uid="{00000000-0005-0000-0000-00006F000000}"/>
    <cellStyle name="Normal 22 2" xfId="182" xr:uid="{038F05FD-B72B-4BEC-B3DA-56AC48CAF892}"/>
    <cellStyle name="Normal 23" xfId="38" xr:uid="{00000000-0005-0000-0000-000070000000}"/>
    <cellStyle name="Normal 23 2" xfId="14" xr:uid="{00000000-0005-0000-0000-000071000000}"/>
    <cellStyle name="Normal 24" xfId="41" xr:uid="{00000000-0005-0000-0000-000072000000}"/>
    <cellStyle name="Normal 24 2" xfId="44" xr:uid="{00000000-0005-0000-0000-000073000000}"/>
    <cellStyle name="Normal 3" xfId="119" xr:uid="{00000000-0005-0000-0000-000074000000}"/>
    <cellStyle name="Normal 3 2" xfId="120" xr:uid="{00000000-0005-0000-0000-000075000000}"/>
    <cellStyle name="Normal 3 2 2" xfId="185" xr:uid="{2DF442A7-6323-4834-9AED-99BE7370ACF0}"/>
    <cellStyle name="Normal 3 3" xfId="184" xr:uid="{2FD7248C-A215-4EB6-B0D7-D706096B04D4}"/>
    <cellStyle name="Normal 4" xfId="122" xr:uid="{00000000-0005-0000-0000-000076000000}"/>
    <cellStyle name="Normal 5" xfId="123" xr:uid="{00000000-0005-0000-0000-000077000000}"/>
    <cellStyle name="Normal 5 2" xfId="186" xr:uid="{B911914B-97F3-473B-A40C-A8A6C16FAD36}"/>
    <cellStyle name="Normal 6" xfId="8" xr:uid="{00000000-0005-0000-0000-000078000000}"/>
    <cellStyle name="Normal 6 2" xfId="133" xr:uid="{6388BF8D-33F4-455A-BE61-E64030477140}"/>
    <cellStyle name="Normal 7" xfId="124" xr:uid="{00000000-0005-0000-0000-000079000000}"/>
    <cellStyle name="Normal 7 2" xfId="2" xr:uid="{00000000-0005-0000-0000-00007A000000}"/>
    <cellStyle name="Normal 7 3" xfId="187" xr:uid="{53819024-B158-4D3D-A3C7-7FA6FAD91268}"/>
    <cellStyle name="Normal 8" xfId="125" xr:uid="{00000000-0005-0000-0000-00007B000000}"/>
    <cellStyle name="Normal 8 2" xfId="188" xr:uid="{B33CFA8C-75C0-4F4D-8395-0DD36B413EDC}"/>
    <cellStyle name="Normal 9" xfId="126" xr:uid="{00000000-0005-0000-0000-00007C000000}"/>
    <cellStyle name="Normal 9 2" xfId="189" xr:uid="{1431F5A1-F761-4E8E-891B-EB5941EE8B47}"/>
    <cellStyle name="Normal_WJ-PGNNom 2" xfId="127" xr:uid="{00000000-0005-0000-0000-00007D000000}"/>
    <cellStyle name="Percent [2]" xfId="128" xr:uid="{00000000-0005-0000-0000-00007E000000}"/>
    <cellStyle name="RevList" xfId="121" xr:uid="{00000000-0005-0000-0000-00007F000000}"/>
    <cellStyle name="Subtotal" xfId="30" xr:uid="{00000000-0005-0000-0000-000080000000}"/>
    <cellStyle name="test" xfId="129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1"/>
    <pageSetUpPr fitToPage="1"/>
  </sheetPr>
  <dimension ref="A1:WVF54"/>
  <sheetViews>
    <sheetView showGridLines="0" tabSelected="1" view="pageBreakPreview" zoomScale="70" zoomScaleNormal="70" zoomScaleSheetLayoutView="70" zoomScalePageLayoutView="77" workbookViewId="0">
      <selection activeCell="F20" sqref="F20"/>
    </sheetView>
  </sheetViews>
  <sheetFormatPr defaultColWidth="7.21875" defaultRowHeight="28.5" customHeight="1"/>
  <cols>
    <col min="1" max="1" width="2.44140625" style="3" customWidth="1"/>
    <col min="2" max="2" width="10" style="3" customWidth="1"/>
    <col min="3" max="3" width="24" style="3" customWidth="1"/>
    <col min="4" max="4" width="5.21875" style="3" customWidth="1"/>
    <col min="5" max="5" width="16.77734375" style="3" customWidth="1"/>
    <col min="6" max="6" width="23.21875" style="3" customWidth="1"/>
    <col min="7" max="7" width="24.77734375" style="3" customWidth="1"/>
    <col min="8" max="8" width="16.77734375" style="3" bestFit="1" customWidth="1"/>
    <col min="9" max="9" width="16.77734375" style="3" customWidth="1"/>
    <col min="10" max="17" width="17" style="3" customWidth="1"/>
    <col min="18" max="18" width="5.21875" style="3" customWidth="1"/>
    <col min="19" max="24" width="13.44140625" style="3" customWidth="1"/>
    <col min="25" max="243" width="7.21875" style="3"/>
    <col min="244" max="244" width="2.44140625" style="3" customWidth="1"/>
    <col min="245" max="245" width="10" style="3" customWidth="1"/>
    <col min="246" max="246" width="18" style="3" customWidth="1"/>
    <col min="247" max="247" width="11.44140625" style="3" customWidth="1"/>
    <col min="248" max="253" width="11.77734375" style="3" customWidth="1"/>
    <col min="254" max="254" width="7.21875" style="3" hidden="1" customWidth="1"/>
    <col min="255" max="256" width="11.77734375" style="3" customWidth="1"/>
    <col min="257" max="257" width="7.21875" style="3" customWidth="1"/>
    <col min="258" max="258" width="13.44140625" style="3" customWidth="1"/>
    <col min="259" max="259" width="3" style="3" customWidth="1"/>
    <col min="260" max="499" width="7.21875" style="3"/>
    <col min="500" max="500" width="2.44140625" style="3" customWidth="1"/>
    <col min="501" max="501" width="10" style="3" customWidth="1"/>
    <col min="502" max="502" width="18" style="3" customWidth="1"/>
    <col min="503" max="503" width="11.44140625" style="3" customWidth="1"/>
    <col min="504" max="509" width="11.77734375" style="3" customWidth="1"/>
    <col min="510" max="510" width="7.21875" style="3" hidden="1" customWidth="1"/>
    <col min="511" max="512" width="11.77734375" style="3" customWidth="1"/>
    <col min="513" max="513" width="7.21875" style="3" customWidth="1"/>
    <col min="514" max="514" width="13.44140625" style="3" customWidth="1"/>
    <col min="515" max="515" width="3" style="3" customWidth="1"/>
    <col min="516" max="755" width="7.21875" style="3"/>
    <col min="756" max="756" width="2.44140625" style="3" customWidth="1"/>
    <col min="757" max="757" width="10" style="3" customWidth="1"/>
    <col min="758" max="758" width="18" style="3" customWidth="1"/>
    <col min="759" max="759" width="11.44140625" style="3" customWidth="1"/>
    <col min="760" max="765" width="11.77734375" style="3" customWidth="1"/>
    <col min="766" max="766" width="7.21875" style="3" hidden="1" customWidth="1"/>
    <col min="767" max="768" width="11.77734375" style="3" customWidth="1"/>
    <col min="769" max="769" width="7.21875" style="3" customWidth="1"/>
    <col min="770" max="770" width="13.44140625" style="3" customWidth="1"/>
    <col min="771" max="771" width="3" style="3" customWidth="1"/>
    <col min="772" max="1011" width="7.21875" style="3"/>
    <col min="1012" max="1012" width="2.44140625" style="3" customWidth="1"/>
    <col min="1013" max="1013" width="10" style="3" customWidth="1"/>
    <col min="1014" max="1014" width="18" style="3" customWidth="1"/>
    <col min="1015" max="1015" width="11.44140625" style="3" customWidth="1"/>
    <col min="1016" max="1021" width="11.77734375" style="3" customWidth="1"/>
    <col min="1022" max="1022" width="7.21875" style="3" hidden="1" customWidth="1"/>
    <col min="1023" max="1024" width="11.77734375" style="3" customWidth="1"/>
    <col min="1025" max="1025" width="7.21875" style="3" customWidth="1"/>
    <col min="1026" max="1026" width="13.44140625" style="3" customWidth="1"/>
    <col min="1027" max="1027" width="3" style="3" customWidth="1"/>
    <col min="1028" max="1267" width="7.21875" style="3"/>
    <col min="1268" max="1268" width="2.44140625" style="3" customWidth="1"/>
    <col min="1269" max="1269" width="10" style="3" customWidth="1"/>
    <col min="1270" max="1270" width="18" style="3" customWidth="1"/>
    <col min="1271" max="1271" width="11.44140625" style="3" customWidth="1"/>
    <col min="1272" max="1277" width="11.77734375" style="3" customWidth="1"/>
    <col min="1278" max="1278" width="7.21875" style="3" hidden="1" customWidth="1"/>
    <col min="1279" max="1280" width="11.77734375" style="3" customWidth="1"/>
    <col min="1281" max="1281" width="7.21875" style="3" customWidth="1"/>
    <col min="1282" max="1282" width="13.44140625" style="3" customWidth="1"/>
    <col min="1283" max="1283" width="3" style="3" customWidth="1"/>
    <col min="1284" max="1523" width="7.21875" style="3"/>
    <col min="1524" max="1524" width="2.44140625" style="3" customWidth="1"/>
    <col min="1525" max="1525" width="10" style="3" customWidth="1"/>
    <col min="1526" max="1526" width="18" style="3" customWidth="1"/>
    <col min="1527" max="1527" width="11.44140625" style="3" customWidth="1"/>
    <col min="1528" max="1533" width="11.77734375" style="3" customWidth="1"/>
    <col min="1534" max="1534" width="7.21875" style="3" hidden="1" customWidth="1"/>
    <col min="1535" max="1536" width="11.77734375" style="3" customWidth="1"/>
    <col min="1537" max="1537" width="7.21875" style="3" customWidth="1"/>
    <col min="1538" max="1538" width="13.44140625" style="3" customWidth="1"/>
    <col min="1539" max="1539" width="3" style="3" customWidth="1"/>
    <col min="1540" max="1779" width="7.21875" style="3"/>
    <col min="1780" max="1780" width="2.44140625" style="3" customWidth="1"/>
    <col min="1781" max="1781" width="10" style="3" customWidth="1"/>
    <col min="1782" max="1782" width="18" style="3" customWidth="1"/>
    <col min="1783" max="1783" width="11.44140625" style="3" customWidth="1"/>
    <col min="1784" max="1789" width="11.77734375" style="3" customWidth="1"/>
    <col min="1790" max="1790" width="7.21875" style="3" hidden="1" customWidth="1"/>
    <col min="1791" max="1792" width="11.77734375" style="3" customWidth="1"/>
    <col min="1793" max="1793" width="7.21875" style="3" customWidth="1"/>
    <col min="1794" max="1794" width="13.44140625" style="3" customWidth="1"/>
    <col min="1795" max="1795" width="3" style="3" customWidth="1"/>
    <col min="1796" max="2035" width="7.21875" style="3"/>
    <col min="2036" max="2036" width="2.44140625" style="3" customWidth="1"/>
    <col min="2037" max="2037" width="10" style="3" customWidth="1"/>
    <col min="2038" max="2038" width="18" style="3" customWidth="1"/>
    <col min="2039" max="2039" width="11.44140625" style="3" customWidth="1"/>
    <col min="2040" max="2045" width="11.77734375" style="3" customWidth="1"/>
    <col min="2046" max="2046" width="7.21875" style="3" hidden="1" customWidth="1"/>
    <col min="2047" max="2048" width="11.77734375" style="3" customWidth="1"/>
    <col min="2049" max="2049" width="7.21875" style="3" customWidth="1"/>
    <col min="2050" max="2050" width="13.44140625" style="3" customWidth="1"/>
    <col min="2051" max="2051" width="3" style="3" customWidth="1"/>
    <col min="2052" max="2291" width="7.21875" style="3"/>
    <col min="2292" max="2292" width="2.44140625" style="3" customWidth="1"/>
    <col min="2293" max="2293" width="10" style="3" customWidth="1"/>
    <col min="2294" max="2294" width="18" style="3" customWidth="1"/>
    <col min="2295" max="2295" width="11.44140625" style="3" customWidth="1"/>
    <col min="2296" max="2301" width="11.77734375" style="3" customWidth="1"/>
    <col min="2302" max="2302" width="7.21875" style="3" hidden="1" customWidth="1"/>
    <col min="2303" max="2304" width="11.77734375" style="3" customWidth="1"/>
    <col min="2305" max="2305" width="7.21875" style="3" customWidth="1"/>
    <col min="2306" max="2306" width="13.44140625" style="3" customWidth="1"/>
    <col min="2307" max="2307" width="3" style="3" customWidth="1"/>
    <col min="2308" max="2547" width="7.21875" style="3"/>
    <col min="2548" max="2548" width="2.44140625" style="3" customWidth="1"/>
    <col min="2549" max="2549" width="10" style="3" customWidth="1"/>
    <col min="2550" max="2550" width="18" style="3" customWidth="1"/>
    <col min="2551" max="2551" width="11.44140625" style="3" customWidth="1"/>
    <col min="2552" max="2557" width="11.77734375" style="3" customWidth="1"/>
    <col min="2558" max="2558" width="7.21875" style="3" hidden="1" customWidth="1"/>
    <col min="2559" max="2560" width="11.77734375" style="3" customWidth="1"/>
    <col min="2561" max="2561" width="7.21875" style="3" customWidth="1"/>
    <col min="2562" max="2562" width="13.44140625" style="3" customWidth="1"/>
    <col min="2563" max="2563" width="3" style="3" customWidth="1"/>
    <col min="2564" max="2803" width="7.21875" style="3"/>
    <col min="2804" max="2804" width="2.44140625" style="3" customWidth="1"/>
    <col min="2805" max="2805" width="10" style="3" customWidth="1"/>
    <col min="2806" max="2806" width="18" style="3" customWidth="1"/>
    <col min="2807" max="2807" width="11.44140625" style="3" customWidth="1"/>
    <col min="2808" max="2813" width="11.77734375" style="3" customWidth="1"/>
    <col min="2814" max="2814" width="7.21875" style="3" hidden="1" customWidth="1"/>
    <col min="2815" max="2816" width="11.77734375" style="3" customWidth="1"/>
    <col min="2817" max="2817" width="7.21875" style="3" customWidth="1"/>
    <col min="2818" max="2818" width="13.44140625" style="3" customWidth="1"/>
    <col min="2819" max="2819" width="3" style="3" customWidth="1"/>
    <col min="2820" max="3059" width="7.21875" style="3"/>
    <col min="3060" max="3060" width="2.44140625" style="3" customWidth="1"/>
    <col min="3061" max="3061" width="10" style="3" customWidth="1"/>
    <col min="3062" max="3062" width="18" style="3" customWidth="1"/>
    <col min="3063" max="3063" width="11.44140625" style="3" customWidth="1"/>
    <col min="3064" max="3069" width="11.77734375" style="3" customWidth="1"/>
    <col min="3070" max="3070" width="7.21875" style="3" hidden="1" customWidth="1"/>
    <col min="3071" max="3072" width="11.77734375" style="3" customWidth="1"/>
    <col min="3073" max="3073" width="7.21875" style="3" customWidth="1"/>
    <col min="3074" max="3074" width="13.44140625" style="3" customWidth="1"/>
    <col min="3075" max="3075" width="3" style="3" customWidth="1"/>
    <col min="3076" max="3315" width="7.21875" style="3"/>
    <col min="3316" max="3316" width="2.44140625" style="3" customWidth="1"/>
    <col min="3317" max="3317" width="10" style="3" customWidth="1"/>
    <col min="3318" max="3318" width="18" style="3" customWidth="1"/>
    <col min="3319" max="3319" width="11.44140625" style="3" customWidth="1"/>
    <col min="3320" max="3325" width="11.77734375" style="3" customWidth="1"/>
    <col min="3326" max="3326" width="7.21875" style="3" hidden="1" customWidth="1"/>
    <col min="3327" max="3328" width="11.77734375" style="3" customWidth="1"/>
    <col min="3329" max="3329" width="7.21875" style="3" customWidth="1"/>
    <col min="3330" max="3330" width="13.44140625" style="3" customWidth="1"/>
    <col min="3331" max="3331" width="3" style="3" customWidth="1"/>
    <col min="3332" max="3571" width="7.21875" style="3"/>
    <col min="3572" max="3572" width="2.44140625" style="3" customWidth="1"/>
    <col min="3573" max="3573" width="10" style="3" customWidth="1"/>
    <col min="3574" max="3574" width="18" style="3" customWidth="1"/>
    <col min="3575" max="3575" width="11.44140625" style="3" customWidth="1"/>
    <col min="3576" max="3581" width="11.77734375" style="3" customWidth="1"/>
    <col min="3582" max="3582" width="7.21875" style="3" hidden="1" customWidth="1"/>
    <col min="3583" max="3584" width="11.77734375" style="3" customWidth="1"/>
    <col min="3585" max="3585" width="7.21875" style="3" customWidth="1"/>
    <col min="3586" max="3586" width="13.44140625" style="3" customWidth="1"/>
    <col min="3587" max="3587" width="3" style="3" customWidth="1"/>
    <col min="3588" max="3827" width="7.21875" style="3"/>
    <col min="3828" max="3828" width="2.44140625" style="3" customWidth="1"/>
    <col min="3829" max="3829" width="10" style="3" customWidth="1"/>
    <col min="3830" max="3830" width="18" style="3" customWidth="1"/>
    <col min="3831" max="3831" width="11.44140625" style="3" customWidth="1"/>
    <col min="3832" max="3837" width="11.77734375" style="3" customWidth="1"/>
    <col min="3838" max="3838" width="7.21875" style="3" hidden="1" customWidth="1"/>
    <col min="3839" max="3840" width="11.77734375" style="3" customWidth="1"/>
    <col min="3841" max="3841" width="7.21875" style="3" customWidth="1"/>
    <col min="3842" max="3842" width="13.44140625" style="3" customWidth="1"/>
    <col min="3843" max="3843" width="3" style="3" customWidth="1"/>
    <col min="3844" max="4083" width="7.21875" style="3"/>
    <col min="4084" max="4084" width="2.44140625" style="3" customWidth="1"/>
    <col min="4085" max="4085" width="10" style="3" customWidth="1"/>
    <col min="4086" max="4086" width="18" style="3" customWidth="1"/>
    <col min="4087" max="4087" width="11.44140625" style="3" customWidth="1"/>
    <col min="4088" max="4093" width="11.77734375" style="3" customWidth="1"/>
    <col min="4094" max="4094" width="7.21875" style="3" hidden="1" customWidth="1"/>
    <col min="4095" max="4096" width="11.77734375" style="3" customWidth="1"/>
    <col min="4097" max="4097" width="7.21875" style="3" customWidth="1"/>
    <col min="4098" max="4098" width="13.44140625" style="3" customWidth="1"/>
    <col min="4099" max="4099" width="3" style="3" customWidth="1"/>
    <col min="4100" max="4339" width="7.21875" style="3"/>
    <col min="4340" max="4340" width="2.44140625" style="3" customWidth="1"/>
    <col min="4341" max="4341" width="10" style="3" customWidth="1"/>
    <col min="4342" max="4342" width="18" style="3" customWidth="1"/>
    <col min="4343" max="4343" width="11.44140625" style="3" customWidth="1"/>
    <col min="4344" max="4349" width="11.77734375" style="3" customWidth="1"/>
    <col min="4350" max="4350" width="7.21875" style="3" hidden="1" customWidth="1"/>
    <col min="4351" max="4352" width="11.77734375" style="3" customWidth="1"/>
    <col min="4353" max="4353" width="7.21875" style="3" customWidth="1"/>
    <col min="4354" max="4354" width="13.44140625" style="3" customWidth="1"/>
    <col min="4355" max="4355" width="3" style="3" customWidth="1"/>
    <col min="4356" max="4595" width="7.21875" style="3"/>
    <col min="4596" max="4596" width="2.44140625" style="3" customWidth="1"/>
    <col min="4597" max="4597" width="10" style="3" customWidth="1"/>
    <col min="4598" max="4598" width="18" style="3" customWidth="1"/>
    <col min="4599" max="4599" width="11.44140625" style="3" customWidth="1"/>
    <col min="4600" max="4605" width="11.77734375" style="3" customWidth="1"/>
    <col min="4606" max="4606" width="7.21875" style="3" hidden="1" customWidth="1"/>
    <col min="4607" max="4608" width="11.77734375" style="3" customWidth="1"/>
    <col min="4609" max="4609" width="7.21875" style="3" customWidth="1"/>
    <col min="4610" max="4610" width="13.44140625" style="3" customWidth="1"/>
    <col min="4611" max="4611" width="3" style="3" customWidth="1"/>
    <col min="4612" max="4851" width="7.21875" style="3"/>
    <col min="4852" max="4852" width="2.44140625" style="3" customWidth="1"/>
    <col min="4853" max="4853" width="10" style="3" customWidth="1"/>
    <col min="4854" max="4854" width="18" style="3" customWidth="1"/>
    <col min="4855" max="4855" width="11.44140625" style="3" customWidth="1"/>
    <col min="4856" max="4861" width="11.77734375" style="3" customWidth="1"/>
    <col min="4862" max="4862" width="7.21875" style="3" hidden="1" customWidth="1"/>
    <col min="4863" max="4864" width="11.77734375" style="3" customWidth="1"/>
    <col min="4865" max="4865" width="7.21875" style="3" customWidth="1"/>
    <col min="4866" max="4866" width="13.44140625" style="3" customWidth="1"/>
    <col min="4867" max="4867" width="3" style="3" customWidth="1"/>
    <col min="4868" max="5107" width="7.21875" style="3"/>
    <col min="5108" max="5108" width="2.44140625" style="3" customWidth="1"/>
    <col min="5109" max="5109" width="10" style="3" customWidth="1"/>
    <col min="5110" max="5110" width="18" style="3" customWidth="1"/>
    <col min="5111" max="5111" width="11.44140625" style="3" customWidth="1"/>
    <col min="5112" max="5117" width="11.77734375" style="3" customWidth="1"/>
    <col min="5118" max="5118" width="7.21875" style="3" hidden="1" customWidth="1"/>
    <col min="5119" max="5120" width="11.77734375" style="3" customWidth="1"/>
    <col min="5121" max="5121" width="7.21875" style="3" customWidth="1"/>
    <col min="5122" max="5122" width="13.44140625" style="3" customWidth="1"/>
    <col min="5123" max="5123" width="3" style="3" customWidth="1"/>
    <col min="5124" max="5363" width="7.21875" style="3"/>
    <col min="5364" max="5364" width="2.44140625" style="3" customWidth="1"/>
    <col min="5365" max="5365" width="10" style="3" customWidth="1"/>
    <col min="5366" max="5366" width="18" style="3" customWidth="1"/>
    <col min="5367" max="5367" width="11.44140625" style="3" customWidth="1"/>
    <col min="5368" max="5373" width="11.77734375" style="3" customWidth="1"/>
    <col min="5374" max="5374" width="7.21875" style="3" hidden="1" customWidth="1"/>
    <col min="5375" max="5376" width="11.77734375" style="3" customWidth="1"/>
    <col min="5377" max="5377" width="7.21875" style="3" customWidth="1"/>
    <col min="5378" max="5378" width="13.44140625" style="3" customWidth="1"/>
    <col min="5379" max="5379" width="3" style="3" customWidth="1"/>
    <col min="5380" max="5619" width="7.21875" style="3"/>
    <col min="5620" max="5620" width="2.44140625" style="3" customWidth="1"/>
    <col min="5621" max="5621" width="10" style="3" customWidth="1"/>
    <col min="5622" max="5622" width="18" style="3" customWidth="1"/>
    <col min="5623" max="5623" width="11.44140625" style="3" customWidth="1"/>
    <col min="5624" max="5629" width="11.77734375" style="3" customWidth="1"/>
    <col min="5630" max="5630" width="7.21875" style="3" hidden="1" customWidth="1"/>
    <col min="5631" max="5632" width="11.77734375" style="3" customWidth="1"/>
    <col min="5633" max="5633" width="7.21875" style="3" customWidth="1"/>
    <col min="5634" max="5634" width="13.44140625" style="3" customWidth="1"/>
    <col min="5635" max="5635" width="3" style="3" customWidth="1"/>
    <col min="5636" max="5875" width="7.21875" style="3"/>
    <col min="5876" max="5876" width="2.44140625" style="3" customWidth="1"/>
    <col min="5877" max="5877" width="10" style="3" customWidth="1"/>
    <col min="5878" max="5878" width="18" style="3" customWidth="1"/>
    <col min="5879" max="5879" width="11.44140625" style="3" customWidth="1"/>
    <col min="5880" max="5885" width="11.77734375" style="3" customWidth="1"/>
    <col min="5886" max="5886" width="7.21875" style="3" hidden="1" customWidth="1"/>
    <col min="5887" max="5888" width="11.77734375" style="3" customWidth="1"/>
    <col min="5889" max="5889" width="7.21875" style="3" customWidth="1"/>
    <col min="5890" max="5890" width="13.44140625" style="3" customWidth="1"/>
    <col min="5891" max="5891" width="3" style="3" customWidth="1"/>
    <col min="5892" max="6131" width="7.21875" style="3"/>
    <col min="6132" max="6132" width="2.44140625" style="3" customWidth="1"/>
    <col min="6133" max="6133" width="10" style="3" customWidth="1"/>
    <col min="6134" max="6134" width="18" style="3" customWidth="1"/>
    <col min="6135" max="6135" width="11.44140625" style="3" customWidth="1"/>
    <col min="6136" max="6141" width="11.77734375" style="3" customWidth="1"/>
    <col min="6142" max="6142" width="7.21875" style="3" hidden="1" customWidth="1"/>
    <col min="6143" max="6144" width="11.77734375" style="3" customWidth="1"/>
    <col min="6145" max="6145" width="7.21875" style="3" customWidth="1"/>
    <col min="6146" max="6146" width="13.44140625" style="3" customWidth="1"/>
    <col min="6147" max="6147" width="3" style="3" customWidth="1"/>
    <col min="6148" max="6387" width="7.21875" style="3"/>
    <col min="6388" max="6388" width="2.44140625" style="3" customWidth="1"/>
    <col min="6389" max="6389" width="10" style="3" customWidth="1"/>
    <col min="6390" max="6390" width="18" style="3" customWidth="1"/>
    <col min="6391" max="6391" width="11.44140625" style="3" customWidth="1"/>
    <col min="6392" max="6397" width="11.77734375" style="3" customWidth="1"/>
    <col min="6398" max="6398" width="7.21875" style="3" hidden="1" customWidth="1"/>
    <col min="6399" max="6400" width="11.77734375" style="3" customWidth="1"/>
    <col min="6401" max="6401" width="7.21875" style="3" customWidth="1"/>
    <col min="6402" max="6402" width="13.44140625" style="3" customWidth="1"/>
    <col min="6403" max="6403" width="3" style="3" customWidth="1"/>
    <col min="6404" max="6643" width="7.21875" style="3"/>
    <col min="6644" max="6644" width="2.44140625" style="3" customWidth="1"/>
    <col min="6645" max="6645" width="10" style="3" customWidth="1"/>
    <col min="6646" max="6646" width="18" style="3" customWidth="1"/>
    <col min="6647" max="6647" width="11.44140625" style="3" customWidth="1"/>
    <col min="6648" max="6653" width="11.77734375" style="3" customWidth="1"/>
    <col min="6654" max="6654" width="7.21875" style="3" hidden="1" customWidth="1"/>
    <col min="6655" max="6656" width="11.77734375" style="3" customWidth="1"/>
    <col min="6657" max="6657" width="7.21875" style="3" customWidth="1"/>
    <col min="6658" max="6658" width="13.44140625" style="3" customWidth="1"/>
    <col min="6659" max="6659" width="3" style="3" customWidth="1"/>
    <col min="6660" max="6899" width="7.21875" style="3"/>
    <col min="6900" max="6900" width="2.44140625" style="3" customWidth="1"/>
    <col min="6901" max="6901" width="10" style="3" customWidth="1"/>
    <col min="6902" max="6902" width="18" style="3" customWidth="1"/>
    <col min="6903" max="6903" width="11.44140625" style="3" customWidth="1"/>
    <col min="6904" max="6909" width="11.77734375" style="3" customWidth="1"/>
    <col min="6910" max="6910" width="7.21875" style="3" hidden="1" customWidth="1"/>
    <col min="6911" max="6912" width="11.77734375" style="3" customWidth="1"/>
    <col min="6913" max="6913" width="7.21875" style="3" customWidth="1"/>
    <col min="6914" max="6914" width="13.44140625" style="3" customWidth="1"/>
    <col min="6915" max="6915" width="3" style="3" customWidth="1"/>
    <col min="6916" max="7155" width="7.21875" style="3"/>
    <col min="7156" max="7156" width="2.44140625" style="3" customWidth="1"/>
    <col min="7157" max="7157" width="10" style="3" customWidth="1"/>
    <col min="7158" max="7158" width="18" style="3" customWidth="1"/>
    <col min="7159" max="7159" width="11.44140625" style="3" customWidth="1"/>
    <col min="7160" max="7165" width="11.77734375" style="3" customWidth="1"/>
    <col min="7166" max="7166" width="7.21875" style="3" hidden="1" customWidth="1"/>
    <col min="7167" max="7168" width="11.77734375" style="3" customWidth="1"/>
    <col min="7169" max="7169" width="7.21875" style="3" customWidth="1"/>
    <col min="7170" max="7170" width="13.44140625" style="3" customWidth="1"/>
    <col min="7171" max="7171" width="3" style="3" customWidth="1"/>
    <col min="7172" max="7411" width="7.21875" style="3"/>
    <col min="7412" max="7412" width="2.44140625" style="3" customWidth="1"/>
    <col min="7413" max="7413" width="10" style="3" customWidth="1"/>
    <col min="7414" max="7414" width="18" style="3" customWidth="1"/>
    <col min="7415" max="7415" width="11.44140625" style="3" customWidth="1"/>
    <col min="7416" max="7421" width="11.77734375" style="3" customWidth="1"/>
    <col min="7422" max="7422" width="7.21875" style="3" hidden="1" customWidth="1"/>
    <col min="7423" max="7424" width="11.77734375" style="3" customWidth="1"/>
    <col min="7425" max="7425" width="7.21875" style="3" customWidth="1"/>
    <col min="7426" max="7426" width="13.44140625" style="3" customWidth="1"/>
    <col min="7427" max="7427" width="3" style="3" customWidth="1"/>
    <col min="7428" max="7667" width="7.21875" style="3"/>
    <col min="7668" max="7668" width="2.44140625" style="3" customWidth="1"/>
    <col min="7669" max="7669" width="10" style="3" customWidth="1"/>
    <col min="7670" max="7670" width="18" style="3" customWidth="1"/>
    <col min="7671" max="7671" width="11.44140625" style="3" customWidth="1"/>
    <col min="7672" max="7677" width="11.77734375" style="3" customWidth="1"/>
    <col min="7678" max="7678" width="7.21875" style="3" hidden="1" customWidth="1"/>
    <col min="7679" max="7680" width="11.77734375" style="3" customWidth="1"/>
    <col min="7681" max="7681" width="7.21875" style="3" customWidth="1"/>
    <col min="7682" max="7682" width="13.44140625" style="3" customWidth="1"/>
    <col min="7683" max="7683" width="3" style="3" customWidth="1"/>
    <col min="7684" max="7923" width="7.21875" style="3"/>
    <col min="7924" max="7924" width="2.44140625" style="3" customWidth="1"/>
    <col min="7925" max="7925" width="10" style="3" customWidth="1"/>
    <col min="7926" max="7926" width="18" style="3" customWidth="1"/>
    <col min="7927" max="7927" width="11.44140625" style="3" customWidth="1"/>
    <col min="7928" max="7933" width="11.77734375" style="3" customWidth="1"/>
    <col min="7934" max="7934" width="7.21875" style="3" hidden="1" customWidth="1"/>
    <col min="7935" max="7936" width="11.77734375" style="3" customWidth="1"/>
    <col min="7937" max="7937" width="7.21875" style="3" customWidth="1"/>
    <col min="7938" max="7938" width="13.44140625" style="3" customWidth="1"/>
    <col min="7939" max="7939" width="3" style="3" customWidth="1"/>
    <col min="7940" max="8179" width="7.21875" style="3"/>
    <col min="8180" max="8180" width="2.44140625" style="3" customWidth="1"/>
    <col min="8181" max="8181" width="10" style="3" customWidth="1"/>
    <col min="8182" max="8182" width="18" style="3" customWidth="1"/>
    <col min="8183" max="8183" width="11.44140625" style="3" customWidth="1"/>
    <col min="8184" max="8189" width="11.77734375" style="3" customWidth="1"/>
    <col min="8190" max="8190" width="7.21875" style="3" hidden="1" customWidth="1"/>
    <col min="8191" max="8192" width="11.77734375" style="3" customWidth="1"/>
    <col min="8193" max="8193" width="7.21875" style="3" customWidth="1"/>
    <col min="8194" max="8194" width="13.44140625" style="3" customWidth="1"/>
    <col min="8195" max="8195" width="3" style="3" customWidth="1"/>
    <col min="8196" max="8435" width="7.21875" style="3"/>
    <col min="8436" max="8436" width="2.44140625" style="3" customWidth="1"/>
    <col min="8437" max="8437" width="10" style="3" customWidth="1"/>
    <col min="8438" max="8438" width="18" style="3" customWidth="1"/>
    <col min="8439" max="8439" width="11.44140625" style="3" customWidth="1"/>
    <col min="8440" max="8445" width="11.77734375" style="3" customWidth="1"/>
    <col min="8446" max="8446" width="7.21875" style="3" hidden="1" customWidth="1"/>
    <col min="8447" max="8448" width="11.77734375" style="3" customWidth="1"/>
    <col min="8449" max="8449" width="7.21875" style="3" customWidth="1"/>
    <col min="8450" max="8450" width="13.44140625" style="3" customWidth="1"/>
    <col min="8451" max="8451" width="3" style="3" customWidth="1"/>
    <col min="8452" max="8691" width="7.21875" style="3"/>
    <col min="8692" max="8692" width="2.44140625" style="3" customWidth="1"/>
    <col min="8693" max="8693" width="10" style="3" customWidth="1"/>
    <col min="8694" max="8694" width="18" style="3" customWidth="1"/>
    <col min="8695" max="8695" width="11.44140625" style="3" customWidth="1"/>
    <col min="8696" max="8701" width="11.77734375" style="3" customWidth="1"/>
    <col min="8702" max="8702" width="7.21875" style="3" hidden="1" customWidth="1"/>
    <col min="8703" max="8704" width="11.77734375" style="3" customWidth="1"/>
    <col min="8705" max="8705" width="7.21875" style="3" customWidth="1"/>
    <col min="8706" max="8706" width="13.44140625" style="3" customWidth="1"/>
    <col min="8707" max="8707" width="3" style="3" customWidth="1"/>
    <col min="8708" max="8947" width="7.21875" style="3"/>
    <col min="8948" max="8948" width="2.44140625" style="3" customWidth="1"/>
    <col min="8949" max="8949" width="10" style="3" customWidth="1"/>
    <col min="8950" max="8950" width="18" style="3" customWidth="1"/>
    <col min="8951" max="8951" width="11.44140625" style="3" customWidth="1"/>
    <col min="8952" max="8957" width="11.77734375" style="3" customWidth="1"/>
    <col min="8958" max="8958" width="7.21875" style="3" hidden="1" customWidth="1"/>
    <col min="8959" max="8960" width="11.77734375" style="3" customWidth="1"/>
    <col min="8961" max="8961" width="7.21875" style="3" customWidth="1"/>
    <col min="8962" max="8962" width="13.44140625" style="3" customWidth="1"/>
    <col min="8963" max="8963" width="3" style="3" customWidth="1"/>
    <col min="8964" max="9203" width="7.21875" style="3"/>
    <col min="9204" max="9204" width="2.44140625" style="3" customWidth="1"/>
    <col min="9205" max="9205" width="10" style="3" customWidth="1"/>
    <col min="9206" max="9206" width="18" style="3" customWidth="1"/>
    <col min="9207" max="9207" width="11.44140625" style="3" customWidth="1"/>
    <col min="9208" max="9213" width="11.77734375" style="3" customWidth="1"/>
    <col min="9214" max="9214" width="7.21875" style="3" hidden="1" customWidth="1"/>
    <col min="9215" max="9216" width="11.77734375" style="3" customWidth="1"/>
    <col min="9217" max="9217" width="7.21875" style="3" customWidth="1"/>
    <col min="9218" max="9218" width="13.44140625" style="3" customWidth="1"/>
    <col min="9219" max="9219" width="3" style="3" customWidth="1"/>
    <col min="9220" max="9459" width="7.21875" style="3"/>
    <col min="9460" max="9460" width="2.44140625" style="3" customWidth="1"/>
    <col min="9461" max="9461" width="10" style="3" customWidth="1"/>
    <col min="9462" max="9462" width="18" style="3" customWidth="1"/>
    <col min="9463" max="9463" width="11.44140625" style="3" customWidth="1"/>
    <col min="9464" max="9469" width="11.77734375" style="3" customWidth="1"/>
    <col min="9470" max="9470" width="7.21875" style="3" hidden="1" customWidth="1"/>
    <col min="9471" max="9472" width="11.77734375" style="3" customWidth="1"/>
    <col min="9473" max="9473" width="7.21875" style="3" customWidth="1"/>
    <col min="9474" max="9474" width="13.44140625" style="3" customWidth="1"/>
    <col min="9475" max="9475" width="3" style="3" customWidth="1"/>
    <col min="9476" max="9715" width="7.21875" style="3"/>
    <col min="9716" max="9716" width="2.44140625" style="3" customWidth="1"/>
    <col min="9717" max="9717" width="10" style="3" customWidth="1"/>
    <col min="9718" max="9718" width="18" style="3" customWidth="1"/>
    <col min="9719" max="9719" width="11.44140625" style="3" customWidth="1"/>
    <col min="9720" max="9725" width="11.77734375" style="3" customWidth="1"/>
    <col min="9726" max="9726" width="7.21875" style="3" hidden="1" customWidth="1"/>
    <col min="9727" max="9728" width="11.77734375" style="3" customWidth="1"/>
    <col min="9729" max="9729" width="7.21875" style="3" customWidth="1"/>
    <col min="9730" max="9730" width="13.44140625" style="3" customWidth="1"/>
    <col min="9731" max="9731" width="3" style="3" customWidth="1"/>
    <col min="9732" max="9971" width="7.21875" style="3"/>
    <col min="9972" max="9972" width="2.44140625" style="3" customWidth="1"/>
    <col min="9973" max="9973" width="10" style="3" customWidth="1"/>
    <col min="9974" max="9974" width="18" style="3" customWidth="1"/>
    <col min="9975" max="9975" width="11.44140625" style="3" customWidth="1"/>
    <col min="9976" max="9981" width="11.77734375" style="3" customWidth="1"/>
    <col min="9982" max="9982" width="7.21875" style="3" hidden="1" customWidth="1"/>
    <col min="9983" max="9984" width="11.77734375" style="3" customWidth="1"/>
    <col min="9985" max="9985" width="7.21875" style="3" customWidth="1"/>
    <col min="9986" max="9986" width="13.44140625" style="3" customWidth="1"/>
    <col min="9987" max="9987" width="3" style="3" customWidth="1"/>
    <col min="9988" max="10227" width="7.21875" style="3"/>
    <col min="10228" max="10228" width="2.44140625" style="3" customWidth="1"/>
    <col min="10229" max="10229" width="10" style="3" customWidth="1"/>
    <col min="10230" max="10230" width="18" style="3" customWidth="1"/>
    <col min="10231" max="10231" width="11.44140625" style="3" customWidth="1"/>
    <col min="10232" max="10237" width="11.77734375" style="3" customWidth="1"/>
    <col min="10238" max="10238" width="7.21875" style="3" hidden="1" customWidth="1"/>
    <col min="10239" max="10240" width="11.77734375" style="3" customWidth="1"/>
    <col min="10241" max="10241" width="7.21875" style="3" customWidth="1"/>
    <col min="10242" max="10242" width="13.44140625" style="3" customWidth="1"/>
    <col min="10243" max="10243" width="3" style="3" customWidth="1"/>
    <col min="10244" max="10483" width="7.21875" style="3"/>
    <col min="10484" max="10484" width="2.44140625" style="3" customWidth="1"/>
    <col min="10485" max="10485" width="10" style="3" customWidth="1"/>
    <col min="10486" max="10486" width="18" style="3" customWidth="1"/>
    <col min="10487" max="10487" width="11.44140625" style="3" customWidth="1"/>
    <col min="10488" max="10493" width="11.77734375" style="3" customWidth="1"/>
    <col min="10494" max="10494" width="7.21875" style="3" hidden="1" customWidth="1"/>
    <col min="10495" max="10496" width="11.77734375" style="3" customWidth="1"/>
    <col min="10497" max="10497" width="7.21875" style="3" customWidth="1"/>
    <col min="10498" max="10498" width="13.44140625" style="3" customWidth="1"/>
    <col min="10499" max="10499" width="3" style="3" customWidth="1"/>
    <col min="10500" max="10739" width="7.21875" style="3"/>
    <col min="10740" max="10740" width="2.44140625" style="3" customWidth="1"/>
    <col min="10741" max="10741" width="10" style="3" customWidth="1"/>
    <col min="10742" max="10742" width="18" style="3" customWidth="1"/>
    <col min="10743" max="10743" width="11.44140625" style="3" customWidth="1"/>
    <col min="10744" max="10749" width="11.77734375" style="3" customWidth="1"/>
    <col min="10750" max="10750" width="7.21875" style="3" hidden="1" customWidth="1"/>
    <col min="10751" max="10752" width="11.77734375" style="3" customWidth="1"/>
    <col min="10753" max="10753" width="7.21875" style="3" customWidth="1"/>
    <col min="10754" max="10754" width="13.44140625" style="3" customWidth="1"/>
    <col min="10755" max="10755" width="3" style="3" customWidth="1"/>
    <col min="10756" max="10995" width="7.21875" style="3"/>
    <col min="10996" max="10996" width="2.44140625" style="3" customWidth="1"/>
    <col min="10997" max="10997" width="10" style="3" customWidth="1"/>
    <col min="10998" max="10998" width="18" style="3" customWidth="1"/>
    <col min="10999" max="10999" width="11.44140625" style="3" customWidth="1"/>
    <col min="11000" max="11005" width="11.77734375" style="3" customWidth="1"/>
    <col min="11006" max="11006" width="7.21875" style="3" hidden="1" customWidth="1"/>
    <col min="11007" max="11008" width="11.77734375" style="3" customWidth="1"/>
    <col min="11009" max="11009" width="7.21875" style="3" customWidth="1"/>
    <col min="11010" max="11010" width="13.44140625" style="3" customWidth="1"/>
    <col min="11011" max="11011" width="3" style="3" customWidth="1"/>
    <col min="11012" max="11251" width="7.21875" style="3"/>
    <col min="11252" max="11252" width="2.44140625" style="3" customWidth="1"/>
    <col min="11253" max="11253" width="10" style="3" customWidth="1"/>
    <col min="11254" max="11254" width="18" style="3" customWidth="1"/>
    <col min="11255" max="11255" width="11.44140625" style="3" customWidth="1"/>
    <col min="11256" max="11261" width="11.77734375" style="3" customWidth="1"/>
    <col min="11262" max="11262" width="7.21875" style="3" hidden="1" customWidth="1"/>
    <col min="11263" max="11264" width="11.77734375" style="3" customWidth="1"/>
    <col min="11265" max="11265" width="7.21875" style="3" customWidth="1"/>
    <col min="11266" max="11266" width="13.44140625" style="3" customWidth="1"/>
    <col min="11267" max="11267" width="3" style="3" customWidth="1"/>
    <col min="11268" max="11507" width="7.21875" style="3"/>
    <col min="11508" max="11508" width="2.44140625" style="3" customWidth="1"/>
    <col min="11509" max="11509" width="10" style="3" customWidth="1"/>
    <col min="11510" max="11510" width="18" style="3" customWidth="1"/>
    <col min="11511" max="11511" width="11.44140625" style="3" customWidth="1"/>
    <col min="11512" max="11517" width="11.77734375" style="3" customWidth="1"/>
    <col min="11518" max="11518" width="7.21875" style="3" hidden="1" customWidth="1"/>
    <col min="11519" max="11520" width="11.77734375" style="3" customWidth="1"/>
    <col min="11521" max="11521" width="7.21875" style="3" customWidth="1"/>
    <col min="11522" max="11522" width="13.44140625" style="3" customWidth="1"/>
    <col min="11523" max="11523" width="3" style="3" customWidth="1"/>
    <col min="11524" max="11763" width="7.21875" style="3"/>
    <col min="11764" max="11764" width="2.44140625" style="3" customWidth="1"/>
    <col min="11765" max="11765" width="10" style="3" customWidth="1"/>
    <col min="11766" max="11766" width="18" style="3" customWidth="1"/>
    <col min="11767" max="11767" width="11.44140625" style="3" customWidth="1"/>
    <col min="11768" max="11773" width="11.77734375" style="3" customWidth="1"/>
    <col min="11774" max="11774" width="7.21875" style="3" hidden="1" customWidth="1"/>
    <col min="11775" max="11776" width="11.77734375" style="3" customWidth="1"/>
    <col min="11777" max="11777" width="7.21875" style="3" customWidth="1"/>
    <col min="11778" max="11778" width="13.44140625" style="3" customWidth="1"/>
    <col min="11779" max="11779" width="3" style="3" customWidth="1"/>
    <col min="11780" max="12019" width="7.21875" style="3"/>
    <col min="12020" max="12020" width="2.44140625" style="3" customWidth="1"/>
    <col min="12021" max="12021" width="10" style="3" customWidth="1"/>
    <col min="12022" max="12022" width="18" style="3" customWidth="1"/>
    <col min="12023" max="12023" width="11.44140625" style="3" customWidth="1"/>
    <col min="12024" max="12029" width="11.77734375" style="3" customWidth="1"/>
    <col min="12030" max="12030" width="7.21875" style="3" hidden="1" customWidth="1"/>
    <col min="12031" max="12032" width="11.77734375" style="3" customWidth="1"/>
    <col min="12033" max="12033" width="7.21875" style="3" customWidth="1"/>
    <col min="12034" max="12034" width="13.44140625" style="3" customWidth="1"/>
    <col min="12035" max="12035" width="3" style="3" customWidth="1"/>
    <col min="12036" max="12275" width="7.21875" style="3"/>
    <col min="12276" max="12276" width="2.44140625" style="3" customWidth="1"/>
    <col min="12277" max="12277" width="10" style="3" customWidth="1"/>
    <col min="12278" max="12278" width="18" style="3" customWidth="1"/>
    <col min="12279" max="12279" width="11.44140625" style="3" customWidth="1"/>
    <col min="12280" max="12285" width="11.77734375" style="3" customWidth="1"/>
    <col min="12286" max="12286" width="7.21875" style="3" hidden="1" customWidth="1"/>
    <col min="12287" max="12288" width="11.77734375" style="3" customWidth="1"/>
    <col min="12289" max="12289" width="7.21875" style="3" customWidth="1"/>
    <col min="12290" max="12290" width="13.44140625" style="3" customWidth="1"/>
    <col min="12291" max="12291" width="3" style="3" customWidth="1"/>
    <col min="12292" max="12531" width="7.21875" style="3"/>
    <col min="12532" max="12532" width="2.44140625" style="3" customWidth="1"/>
    <col min="12533" max="12533" width="10" style="3" customWidth="1"/>
    <col min="12534" max="12534" width="18" style="3" customWidth="1"/>
    <col min="12535" max="12535" width="11.44140625" style="3" customWidth="1"/>
    <col min="12536" max="12541" width="11.77734375" style="3" customWidth="1"/>
    <col min="12542" max="12542" width="7.21875" style="3" hidden="1" customWidth="1"/>
    <col min="12543" max="12544" width="11.77734375" style="3" customWidth="1"/>
    <col min="12545" max="12545" width="7.21875" style="3" customWidth="1"/>
    <col min="12546" max="12546" width="13.44140625" style="3" customWidth="1"/>
    <col min="12547" max="12547" width="3" style="3" customWidth="1"/>
    <col min="12548" max="12787" width="7.21875" style="3"/>
    <col min="12788" max="12788" width="2.44140625" style="3" customWidth="1"/>
    <col min="12789" max="12789" width="10" style="3" customWidth="1"/>
    <col min="12790" max="12790" width="18" style="3" customWidth="1"/>
    <col min="12791" max="12791" width="11.44140625" style="3" customWidth="1"/>
    <col min="12792" max="12797" width="11.77734375" style="3" customWidth="1"/>
    <col min="12798" max="12798" width="7.21875" style="3" hidden="1" customWidth="1"/>
    <col min="12799" max="12800" width="11.77734375" style="3" customWidth="1"/>
    <col min="12801" max="12801" width="7.21875" style="3" customWidth="1"/>
    <col min="12802" max="12802" width="13.44140625" style="3" customWidth="1"/>
    <col min="12803" max="12803" width="3" style="3" customWidth="1"/>
    <col min="12804" max="13043" width="7.21875" style="3"/>
    <col min="13044" max="13044" width="2.44140625" style="3" customWidth="1"/>
    <col min="13045" max="13045" width="10" style="3" customWidth="1"/>
    <col min="13046" max="13046" width="18" style="3" customWidth="1"/>
    <col min="13047" max="13047" width="11.44140625" style="3" customWidth="1"/>
    <col min="13048" max="13053" width="11.77734375" style="3" customWidth="1"/>
    <col min="13054" max="13054" width="7.21875" style="3" hidden="1" customWidth="1"/>
    <col min="13055" max="13056" width="11.77734375" style="3" customWidth="1"/>
    <col min="13057" max="13057" width="7.21875" style="3" customWidth="1"/>
    <col min="13058" max="13058" width="13.44140625" style="3" customWidth="1"/>
    <col min="13059" max="13059" width="3" style="3" customWidth="1"/>
    <col min="13060" max="13299" width="7.21875" style="3"/>
    <col min="13300" max="13300" width="2.44140625" style="3" customWidth="1"/>
    <col min="13301" max="13301" width="10" style="3" customWidth="1"/>
    <col min="13302" max="13302" width="18" style="3" customWidth="1"/>
    <col min="13303" max="13303" width="11.44140625" style="3" customWidth="1"/>
    <col min="13304" max="13309" width="11.77734375" style="3" customWidth="1"/>
    <col min="13310" max="13310" width="7.21875" style="3" hidden="1" customWidth="1"/>
    <col min="13311" max="13312" width="11.77734375" style="3" customWidth="1"/>
    <col min="13313" max="13313" width="7.21875" style="3" customWidth="1"/>
    <col min="13314" max="13314" width="13.44140625" style="3" customWidth="1"/>
    <col min="13315" max="13315" width="3" style="3" customWidth="1"/>
    <col min="13316" max="13555" width="7.21875" style="3"/>
    <col min="13556" max="13556" width="2.44140625" style="3" customWidth="1"/>
    <col min="13557" max="13557" width="10" style="3" customWidth="1"/>
    <col min="13558" max="13558" width="18" style="3" customWidth="1"/>
    <col min="13559" max="13559" width="11.44140625" style="3" customWidth="1"/>
    <col min="13560" max="13565" width="11.77734375" style="3" customWidth="1"/>
    <col min="13566" max="13566" width="7.21875" style="3" hidden="1" customWidth="1"/>
    <col min="13567" max="13568" width="11.77734375" style="3" customWidth="1"/>
    <col min="13569" max="13569" width="7.21875" style="3" customWidth="1"/>
    <col min="13570" max="13570" width="13.44140625" style="3" customWidth="1"/>
    <col min="13571" max="13571" width="3" style="3" customWidth="1"/>
    <col min="13572" max="13811" width="7.21875" style="3"/>
    <col min="13812" max="13812" width="2.44140625" style="3" customWidth="1"/>
    <col min="13813" max="13813" width="10" style="3" customWidth="1"/>
    <col min="13814" max="13814" width="18" style="3" customWidth="1"/>
    <col min="13815" max="13815" width="11.44140625" style="3" customWidth="1"/>
    <col min="13816" max="13821" width="11.77734375" style="3" customWidth="1"/>
    <col min="13822" max="13822" width="7.21875" style="3" hidden="1" customWidth="1"/>
    <col min="13823" max="13824" width="11.77734375" style="3" customWidth="1"/>
    <col min="13825" max="13825" width="7.21875" style="3" customWidth="1"/>
    <col min="13826" max="13826" width="13.44140625" style="3" customWidth="1"/>
    <col min="13827" max="13827" width="3" style="3" customWidth="1"/>
    <col min="13828" max="14067" width="7.21875" style="3"/>
    <col min="14068" max="14068" width="2.44140625" style="3" customWidth="1"/>
    <col min="14069" max="14069" width="10" style="3" customWidth="1"/>
    <col min="14070" max="14070" width="18" style="3" customWidth="1"/>
    <col min="14071" max="14071" width="11.44140625" style="3" customWidth="1"/>
    <col min="14072" max="14077" width="11.77734375" style="3" customWidth="1"/>
    <col min="14078" max="14078" width="7.21875" style="3" hidden="1" customWidth="1"/>
    <col min="14079" max="14080" width="11.77734375" style="3" customWidth="1"/>
    <col min="14081" max="14081" width="7.21875" style="3" customWidth="1"/>
    <col min="14082" max="14082" width="13.44140625" style="3" customWidth="1"/>
    <col min="14083" max="14083" width="3" style="3" customWidth="1"/>
    <col min="14084" max="14323" width="7.21875" style="3"/>
    <col min="14324" max="14324" width="2.44140625" style="3" customWidth="1"/>
    <col min="14325" max="14325" width="10" style="3" customWidth="1"/>
    <col min="14326" max="14326" width="18" style="3" customWidth="1"/>
    <col min="14327" max="14327" width="11.44140625" style="3" customWidth="1"/>
    <col min="14328" max="14333" width="11.77734375" style="3" customWidth="1"/>
    <col min="14334" max="14334" width="7.21875" style="3" hidden="1" customWidth="1"/>
    <col min="14335" max="14336" width="11.77734375" style="3" customWidth="1"/>
    <col min="14337" max="14337" width="7.21875" style="3" customWidth="1"/>
    <col min="14338" max="14338" width="13.44140625" style="3" customWidth="1"/>
    <col min="14339" max="14339" width="3" style="3" customWidth="1"/>
    <col min="14340" max="14579" width="7.21875" style="3"/>
    <col min="14580" max="14580" width="2.44140625" style="3" customWidth="1"/>
    <col min="14581" max="14581" width="10" style="3" customWidth="1"/>
    <col min="14582" max="14582" width="18" style="3" customWidth="1"/>
    <col min="14583" max="14583" width="11.44140625" style="3" customWidth="1"/>
    <col min="14584" max="14589" width="11.77734375" style="3" customWidth="1"/>
    <col min="14590" max="14590" width="7.21875" style="3" hidden="1" customWidth="1"/>
    <col min="14591" max="14592" width="11.77734375" style="3" customWidth="1"/>
    <col min="14593" max="14593" width="7.21875" style="3" customWidth="1"/>
    <col min="14594" max="14594" width="13.44140625" style="3" customWidth="1"/>
    <col min="14595" max="14595" width="3" style="3" customWidth="1"/>
    <col min="14596" max="14835" width="7.21875" style="3"/>
    <col min="14836" max="14836" width="2.44140625" style="3" customWidth="1"/>
    <col min="14837" max="14837" width="10" style="3" customWidth="1"/>
    <col min="14838" max="14838" width="18" style="3" customWidth="1"/>
    <col min="14839" max="14839" width="11.44140625" style="3" customWidth="1"/>
    <col min="14840" max="14845" width="11.77734375" style="3" customWidth="1"/>
    <col min="14846" max="14846" width="7.21875" style="3" hidden="1" customWidth="1"/>
    <col min="14847" max="14848" width="11.77734375" style="3" customWidth="1"/>
    <col min="14849" max="14849" width="7.21875" style="3" customWidth="1"/>
    <col min="14850" max="14850" width="13.44140625" style="3" customWidth="1"/>
    <col min="14851" max="14851" width="3" style="3" customWidth="1"/>
    <col min="14852" max="15091" width="7.21875" style="3"/>
    <col min="15092" max="15092" width="2.44140625" style="3" customWidth="1"/>
    <col min="15093" max="15093" width="10" style="3" customWidth="1"/>
    <col min="15094" max="15094" width="18" style="3" customWidth="1"/>
    <col min="15095" max="15095" width="11.44140625" style="3" customWidth="1"/>
    <col min="15096" max="15101" width="11.77734375" style="3" customWidth="1"/>
    <col min="15102" max="15102" width="7.21875" style="3" hidden="1" customWidth="1"/>
    <col min="15103" max="15104" width="11.77734375" style="3" customWidth="1"/>
    <col min="15105" max="15105" width="7.21875" style="3" customWidth="1"/>
    <col min="15106" max="15106" width="13.44140625" style="3" customWidth="1"/>
    <col min="15107" max="15107" width="3" style="3" customWidth="1"/>
    <col min="15108" max="15347" width="7.21875" style="3"/>
    <col min="15348" max="15348" width="2.44140625" style="3" customWidth="1"/>
    <col min="15349" max="15349" width="10" style="3" customWidth="1"/>
    <col min="15350" max="15350" width="18" style="3" customWidth="1"/>
    <col min="15351" max="15351" width="11.44140625" style="3" customWidth="1"/>
    <col min="15352" max="15357" width="11.77734375" style="3" customWidth="1"/>
    <col min="15358" max="15358" width="7.21875" style="3" hidden="1" customWidth="1"/>
    <col min="15359" max="15360" width="11.77734375" style="3" customWidth="1"/>
    <col min="15361" max="15361" width="7.21875" style="3" customWidth="1"/>
    <col min="15362" max="15362" width="13.44140625" style="3" customWidth="1"/>
    <col min="15363" max="15363" width="3" style="3" customWidth="1"/>
    <col min="15364" max="15603" width="7.21875" style="3"/>
    <col min="15604" max="15604" width="2.44140625" style="3" customWidth="1"/>
    <col min="15605" max="15605" width="10" style="3" customWidth="1"/>
    <col min="15606" max="15606" width="18" style="3" customWidth="1"/>
    <col min="15607" max="15607" width="11.44140625" style="3" customWidth="1"/>
    <col min="15608" max="15613" width="11.77734375" style="3" customWidth="1"/>
    <col min="15614" max="15614" width="7.21875" style="3" hidden="1" customWidth="1"/>
    <col min="15615" max="15616" width="11.77734375" style="3" customWidth="1"/>
    <col min="15617" max="15617" width="7.21875" style="3" customWidth="1"/>
    <col min="15618" max="15618" width="13.44140625" style="3" customWidth="1"/>
    <col min="15619" max="15619" width="3" style="3" customWidth="1"/>
    <col min="15620" max="15859" width="7.21875" style="3"/>
    <col min="15860" max="15860" width="2.44140625" style="3" customWidth="1"/>
    <col min="15861" max="15861" width="10" style="3" customWidth="1"/>
    <col min="15862" max="15862" width="18" style="3" customWidth="1"/>
    <col min="15863" max="15863" width="11.44140625" style="3" customWidth="1"/>
    <col min="15864" max="15869" width="11.77734375" style="3" customWidth="1"/>
    <col min="15870" max="15870" width="7.21875" style="3" hidden="1" customWidth="1"/>
    <col min="15871" max="15872" width="11.77734375" style="3" customWidth="1"/>
    <col min="15873" max="15873" width="7.21875" style="3" customWidth="1"/>
    <col min="15874" max="15874" width="13.44140625" style="3" customWidth="1"/>
    <col min="15875" max="15875" width="3" style="3" customWidth="1"/>
    <col min="15876" max="16115" width="7.21875" style="3"/>
    <col min="16116" max="16116" width="2.44140625" style="3" customWidth="1"/>
    <col min="16117" max="16117" width="10" style="3" customWidth="1"/>
    <col min="16118" max="16118" width="18" style="3" customWidth="1"/>
    <col min="16119" max="16119" width="11.44140625" style="3" customWidth="1"/>
    <col min="16120" max="16125" width="11.77734375" style="3" customWidth="1"/>
    <col min="16126" max="16126" width="7.21875" style="3" hidden="1" customWidth="1"/>
    <col min="16127" max="16128" width="11.77734375" style="3" customWidth="1"/>
    <col min="16129" max="16129" width="7.21875" style="3" customWidth="1"/>
    <col min="16130" max="16130" width="13.44140625" style="3" customWidth="1"/>
    <col min="16131" max="16131" width="3" style="3" customWidth="1"/>
    <col min="16132" max="16384" width="7.21875" style="3"/>
  </cols>
  <sheetData>
    <row r="1" spans="1:25" ht="13.8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88"/>
    </row>
    <row r="2" spans="1:25" s="1" customFormat="1" ht="21">
      <c r="A2" s="6"/>
      <c r="B2" s="108" t="s">
        <v>42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89"/>
      <c r="Y2" s="90"/>
    </row>
    <row r="3" spans="1:25" s="2" customFormat="1" ht="14.25" customHeight="1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48"/>
      <c r="W3" s="48"/>
      <c r="X3" s="48"/>
      <c r="Y3" s="91"/>
    </row>
    <row r="4" spans="1:25" s="2" customFormat="1" ht="14.4">
      <c r="A4" s="7"/>
      <c r="B4" s="8" t="s">
        <v>0</v>
      </c>
      <c r="C4" s="9"/>
      <c r="D4" s="10" t="s">
        <v>1</v>
      </c>
      <c r="E4" s="95">
        <v>46198</v>
      </c>
      <c r="F4" s="11" t="s">
        <v>43</v>
      </c>
      <c r="G4" s="11"/>
      <c r="H4" s="11"/>
      <c r="I4" s="11"/>
      <c r="J4" s="11"/>
      <c r="K4" s="11"/>
      <c r="L4" s="11"/>
      <c r="M4" s="11"/>
      <c r="N4" s="9"/>
      <c r="O4" s="9"/>
      <c r="P4" s="9"/>
      <c r="Q4" s="9"/>
      <c r="R4" s="9"/>
      <c r="S4" s="9"/>
      <c r="T4" s="11"/>
      <c r="U4" s="11"/>
      <c r="V4" s="48"/>
      <c r="W4" s="48"/>
      <c r="X4" s="48"/>
      <c r="Y4" s="91"/>
    </row>
    <row r="5" spans="1:25" s="2" customFormat="1" ht="14.4">
      <c r="A5" s="7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48"/>
      <c r="W5" s="48"/>
      <c r="X5" s="48"/>
      <c r="Y5" s="91"/>
    </row>
    <row r="6" spans="1:25" s="2" customFormat="1" ht="14.4">
      <c r="A6" s="7"/>
      <c r="B6" s="8" t="s">
        <v>2</v>
      </c>
      <c r="C6" s="9"/>
      <c r="D6" s="10" t="s">
        <v>1</v>
      </c>
      <c r="E6" s="95">
        <f>E4+1</f>
        <v>46199</v>
      </c>
      <c r="F6" s="11" t="s">
        <v>44</v>
      </c>
      <c r="G6" s="11"/>
      <c r="H6" s="11"/>
      <c r="I6" s="11"/>
      <c r="J6" s="11"/>
      <c r="K6" s="11"/>
      <c r="L6" s="11"/>
      <c r="M6" s="11"/>
      <c r="N6" s="11"/>
      <c r="O6" s="11"/>
      <c r="P6" s="9"/>
      <c r="Q6" s="9"/>
      <c r="R6" s="9"/>
      <c r="S6" s="9"/>
      <c r="T6" s="11"/>
      <c r="U6" s="11"/>
      <c r="V6" s="48"/>
      <c r="W6" s="48"/>
      <c r="X6" s="48"/>
      <c r="Y6" s="91"/>
    </row>
    <row r="7" spans="1:25" s="2" customFormat="1" ht="14.4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48"/>
      <c r="W7" s="48"/>
      <c r="X7" s="48"/>
      <c r="Y7" s="91"/>
    </row>
    <row r="8" spans="1:25" s="2" customFormat="1" ht="14.4">
      <c r="A8" s="7"/>
      <c r="B8" s="8" t="s">
        <v>3</v>
      </c>
      <c r="C8" s="9"/>
      <c r="D8" s="10" t="s">
        <v>1</v>
      </c>
      <c r="E8" s="11" t="s">
        <v>47</v>
      </c>
      <c r="F8" s="11"/>
      <c r="G8" s="11"/>
      <c r="H8" s="11"/>
      <c r="I8" s="11"/>
      <c r="J8" s="11"/>
      <c r="K8" s="11"/>
      <c r="L8" s="11"/>
      <c r="M8" s="11"/>
      <c r="N8" s="48"/>
      <c r="O8" s="48"/>
      <c r="P8" s="9"/>
      <c r="Q8" s="9"/>
      <c r="R8" s="9"/>
      <c r="S8" s="9"/>
      <c r="T8" s="11"/>
      <c r="U8" s="11"/>
      <c r="V8" s="48"/>
      <c r="W8" s="48"/>
      <c r="X8" s="48"/>
      <c r="Y8" s="91"/>
    </row>
    <row r="9" spans="1:25" s="2" customFormat="1" ht="14.4">
      <c r="A9" s="7"/>
      <c r="B9" s="8"/>
      <c r="C9" s="9"/>
      <c r="D9" s="10"/>
      <c r="E9" s="11"/>
      <c r="F9" s="11"/>
      <c r="G9" s="11"/>
      <c r="H9" s="11"/>
      <c r="I9" s="11"/>
      <c r="J9" s="11"/>
      <c r="K9" s="11"/>
      <c r="L9" s="11"/>
      <c r="M9" s="11"/>
      <c r="N9" s="48"/>
      <c r="O9" s="48"/>
      <c r="P9" s="9"/>
      <c r="Q9" s="9"/>
      <c r="R9" s="9"/>
      <c r="S9" s="9"/>
      <c r="T9" s="11"/>
      <c r="U9" s="11"/>
      <c r="V9" s="48"/>
      <c r="W9" s="48"/>
      <c r="X9" s="48"/>
      <c r="Y9" s="91"/>
    </row>
    <row r="10" spans="1:25" s="2" customFormat="1" ht="15" customHeight="1">
      <c r="A10" s="7"/>
      <c r="B10" s="12" t="s">
        <v>4</v>
      </c>
      <c r="C10" s="13"/>
      <c r="D10" s="14" t="s">
        <v>1</v>
      </c>
      <c r="E10" s="111" t="s">
        <v>47</v>
      </c>
      <c r="F10" s="111"/>
      <c r="G10" s="111"/>
      <c r="H10" s="111"/>
      <c r="I10" s="111"/>
      <c r="J10" s="20"/>
      <c r="K10" s="20"/>
      <c r="L10" s="13"/>
      <c r="M10" s="13"/>
      <c r="N10" s="26"/>
      <c r="O10" s="26"/>
      <c r="P10" s="26"/>
      <c r="Q10" s="26"/>
      <c r="R10" s="14"/>
      <c r="S10" s="14"/>
      <c r="T10" s="48"/>
      <c r="U10" s="48"/>
      <c r="V10" s="48"/>
      <c r="W10" s="91"/>
    </row>
    <row r="11" spans="1:25" s="2" customFormat="1" ht="14.55" customHeight="1">
      <c r="A11" s="15"/>
      <c r="B11" s="12"/>
      <c r="C11" s="13"/>
      <c r="D11" s="14"/>
      <c r="E11" s="111" t="s">
        <v>45</v>
      </c>
      <c r="F11" s="111"/>
      <c r="G11" s="111"/>
      <c r="H11" s="111"/>
      <c r="I11" s="112" t="s">
        <v>55</v>
      </c>
      <c r="J11" s="49"/>
      <c r="L11" s="13"/>
      <c r="M11" s="13"/>
      <c r="N11" s="13"/>
      <c r="O11" s="13"/>
      <c r="P11" s="13"/>
      <c r="Q11" s="13"/>
      <c r="R11" s="49"/>
      <c r="S11" s="49"/>
      <c r="T11" s="68"/>
      <c r="U11" s="68"/>
      <c r="V11" s="68"/>
      <c r="W11" s="91"/>
    </row>
    <row r="12" spans="1:25" s="2" customFormat="1" ht="14.55" customHeight="1">
      <c r="A12" s="16"/>
      <c r="B12" s="12"/>
      <c r="C12" s="13"/>
      <c r="D12" s="17"/>
      <c r="E12" s="114" t="s">
        <v>52</v>
      </c>
      <c r="F12" s="115"/>
      <c r="G12" s="118" t="s">
        <v>57</v>
      </c>
      <c r="H12" s="119"/>
      <c r="I12" s="113"/>
      <c r="J12" s="17"/>
      <c r="L12" s="13"/>
      <c r="M12" s="13"/>
      <c r="N12" s="13"/>
      <c r="O12" s="13"/>
      <c r="P12" s="13"/>
      <c r="Q12" s="13"/>
      <c r="R12" s="49"/>
      <c r="S12" s="49"/>
      <c r="T12" s="68"/>
      <c r="U12" s="68"/>
      <c r="V12" s="68"/>
      <c r="W12" s="91"/>
    </row>
    <row r="13" spans="1:25" s="2" customFormat="1" ht="20.25" customHeight="1">
      <c r="A13" s="7"/>
      <c r="B13" s="18" t="s">
        <v>7</v>
      </c>
      <c r="C13" s="13"/>
      <c r="D13" s="14" t="s">
        <v>1</v>
      </c>
      <c r="E13" s="116">
        <f>F44</f>
        <v>37</v>
      </c>
      <c r="F13" s="117"/>
      <c r="G13" s="106">
        <f>G44</f>
        <v>0</v>
      </c>
      <c r="H13" s="107"/>
      <c r="I13" s="102">
        <f>H44</f>
        <v>37</v>
      </c>
      <c r="J13" s="50"/>
      <c r="L13" s="51"/>
      <c r="M13" s="51"/>
      <c r="N13" s="51"/>
      <c r="O13" s="51"/>
      <c r="P13" s="51"/>
      <c r="Q13" s="13"/>
      <c r="R13" s="69"/>
      <c r="S13" s="69"/>
      <c r="T13" s="68"/>
      <c r="U13" s="68"/>
      <c r="V13" s="68"/>
      <c r="W13" s="91"/>
    </row>
    <row r="14" spans="1:25" s="2" customFormat="1" ht="14.4">
      <c r="A14" s="7"/>
      <c r="B14" s="19"/>
      <c r="C14" s="9"/>
      <c r="D14" s="9"/>
      <c r="E14" s="9"/>
      <c r="F14" s="9"/>
      <c r="G14" s="9"/>
      <c r="H14" s="9"/>
      <c r="I14" s="9"/>
      <c r="J14" s="9"/>
      <c r="K14" s="52"/>
      <c r="L14" s="52"/>
      <c r="M14" s="52"/>
      <c r="N14" s="42"/>
      <c r="O14" s="42"/>
      <c r="P14" s="9"/>
      <c r="Q14" s="9"/>
      <c r="R14" s="9"/>
      <c r="S14" s="9"/>
      <c r="T14" s="9"/>
      <c r="U14" s="9"/>
      <c r="V14" s="48"/>
      <c r="W14" s="48"/>
      <c r="X14" s="48"/>
      <c r="Y14" s="91"/>
    </row>
    <row r="15" spans="1:25" s="2" customFormat="1" ht="20.25" customHeight="1">
      <c r="A15" s="7"/>
      <c r="B15" s="18"/>
      <c r="C15" s="20"/>
      <c r="D15" s="21"/>
      <c r="E15" s="13"/>
      <c r="F15" s="13"/>
      <c r="G15" s="22"/>
      <c r="H15" s="22"/>
      <c r="I15" s="22"/>
      <c r="J15" s="54"/>
      <c r="K15" s="13"/>
      <c r="L15" s="13"/>
      <c r="M15" s="13"/>
      <c r="N15" s="13"/>
      <c r="O15" s="13"/>
      <c r="P15" s="13"/>
      <c r="Q15" s="13"/>
      <c r="R15" s="13"/>
      <c r="S15" s="13"/>
      <c r="T15" s="54"/>
      <c r="U15" s="54"/>
      <c r="V15" s="68"/>
      <c r="W15" s="68"/>
      <c r="X15" s="68"/>
      <c r="Y15" s="91"/>
    </row>
    <row r="16" spans="1:25" s="2" customFormat="1" ht="20.25" customHeight="1">
      <c r="A16" s="7"/>
      <c r="B16" s="12"/>
      <c r="C16" s="13"/>
      <c r="D16" s="21"/>
      <c r="E16" s="13"/>
      <c r="F16" s="13"/>
      <c r="G16" s="23"/>
      <c r="H16" s="23"/>
      <c r="I16" s="23"/>
      <c r="J16" s="54"/>
      <c r="K16" s="21"/>
      <c r="L16" s="21"/>
      <c r="M16" s="21"/>
      <c r="N16" s="13"/>
      <c r="O16" s="13"/>
      <c r="P16" s="13"/>
      <c r="Q16" s="13"/>
      <c r="R16" s="13"/>
      <c r="S16" s="13" t="s">
        <v>8</v>
      </c>
      <c r="T16" s="54"/>
      <c r="U16" s="54"/>
      <c r="V16" s="68"/>
      <c r="W16" s="68"/>
      <c r="X16" s="68"/>
      <c r="Y16" s="91"/>
    </row>
    <row r="17" spans="1:25" s="2" customFormat="1" ht="20.25" customHeight="1">
      <c r="A17" s="7"/>
      <c r="B17" s="18" t="s">
        <v>9</v>
      </c>
      <c r="C17" s="13"/>
      <c r="D17" s="24" t="s">
        <v>1</v>
      </c>
      <c r="E17" s="25" t="s">
        <v>10</v>
      </c>
      <c r="F17" s="109">
        <f>E6</f>
        <v>46199</v>
      </c>
      <c r="G17" s="120"/>
      <c r="H17" s="110"/>
      <c r="I17" s="105"/>
      <c r="J17" s="109"/>
      <c r="K17" s="110"/>
      <c r="L17" s="109"/>
      <c r="M17" s="110"/>
      <c r="N17" s="109"/>
      <c r="O17" s="110"/>
      <c r="P17" s="109"/>
      <c r="Q17" s="110"/>
      <c r="R17" s="70"/>
      <c r="S17" s="71"/>
      <c r="T17" s="71"/>
      <c r="U17" s="71"/>
      <c r="V17" s="71"/>
      <c r="W17" s="71"/>
      <c r="X17" s="71"/>
      <c r="Y17" s="91"/>
    </row>
    <row r="18" spans="1:25" s="2" customFormat="1" ht="20.25" customHeight="1">
      <c r="A18" s="7"/>
      <c r="B18" s="26"/>
      <c r="C18" s="13"/>
      <c r="D18" s="13"/>
      <c r="E18" s="124"/>
      <c r="F18" s="103" t="s">
        <v>52</v>
      </c>
      <c r="G18" s="104" t="s">
        <v>57</v>
      </c>
      <c r="H18" s="103" t="s">
        <v>56</v>
      </c>
      <c r="I18" s="103"/>
      <c r="J18" s="131"/>
      <c r="K18" s="132"/>
      <c r="L18" s="131"/>
      <c r="M18" s="132"/>
      <c r="N18" s="131"/>
      <c r="O18" s="132"/>
      <c r="P18" s="131"/>
      <c r="Q18" s="132"/>
      <c r="R18" s="72"/>
      <c r="S18" s="73"/>
      <c r="T18" s="73"/>
      <c r="U18" s="73"/>
      <c r="V18" s="73"/>
      <c r="W18" s="73"/>
      <c r="X18" s="73"/>
      <c r="Y18" s="91"/>
    </row>
    <row r="19" spans="1:25" s="2" customFormat="1" ht="29.55" customHeight="1">
      <c r="A19" s="7"/>
      <c r="B19" s="26"/>
      <c r="C19" s="13"/>
      <c r="D19" s="13"/>
      <c r="E19" s="124"/>
      <c r="F19" s="27" t="s">
        <v>53</v>
      </c>
      <c r="G19" s="27" t="s">
        <v>53</v>
      </c>
      <c r="H19" s="27" t="s">
        <v>5</v>
      </c>
      <c r="I19" s="27"/>
      <c r="J19" s="27"/>
      <c r="K19" s="27"/>
      <c r="L19" s="27"/>
      <c r="M19" s="27"/>
      <c r="N19" s="27"/>
      <c r="O19" s="27"/>
      <c r="P19" s="27"/>
      <c r="Q19" s="27"/>
      <c r="R19" s="74"/>
      <c r="S19" s="75"/>
      <c r="T19" s="75"/>
      <c r="U19" s="75"/>
      <c r="V19" s="75"/>
      <c r="W19" s="75"/>
      <c r="X19" s="75"/>
      <c r="Y19" s="91"/>
    </row>
    <row r="20" spans="1:25" ht="28.5" customHeight="1">
      <c r="A20" s="7"/>
      <c r="B20" s="28"/>
      <c r="C20" s="13"/>
      <c r="D20" s="28"/>
      <c r="E20" s="29" t="s">
        <v>12</v>
      </c>
      <c r="F20" s="30">
        <v>28</v>
      </c>
      <c r="G20" s="30">
        <v>0</v>
      </c>
      <c r="H20" s="30">
        <f>F20+G20</f>
        <v>28</v>
      </c>
      <c r="I20" s="30"/>
      <c r="J20" s="30"/>
      <c r="K20" s="31"/>
      <c r="L20" s="30"/>
      <c r="M20" s="31"/>
      <c r="N20" s="30"/>
      <c r="O20" s="31"/>
      <c r="P20" s="30"/>
      <c r="Q20" s="31"/>
      <c r="R20" s="76"/>
      <c r="S20" s="77"/>
      <c r="T20" s="78"/>
      <c r="U20" s="79"/>
      <c r="V20" s="77"/>
      <c r="W20" s="78"/>
      <c r="X20" s="79"/>
      <c r="Y20" s="92"/>
    </row>
    <row r="21" spans="1:25" ht="28.5" customHeight="1">
      <c r="A21" s="32"/>
      <c r="B21" s="28"/>
      <c r="C21" s="13"/>
      <c r="D21" s="28"/>
      <c r="E21" s="29" t="s">
        <v>13</v>
      </c>
      <c r="F21" s="30">
        <v>29</v>
      </c>
      <c r="G21" s="30">
        <v>0</v>
      </c>
      <c r="H21" s="30">
        <f t="shared" ref="H21:H43" si="0">F21+G21</f>
        <v>29</v>
      </c>
      <c r="I21" s="30"/>
      <c r="J21" s="30"/>
      <c r="K21" s="31"/>
      <c r="L21" s="30"/>
      <c r="M21" s="31"/>
      <c r="N21" s="30"/>
      <c r="O21" s="31"/>
      <c r="P21" s="30"/>
      <c r="Q21" s="31"/>
      <c r="R21" s="76"/>
      <c r="S21" s="77"/>
      <c r="T21" s="78"/>
      <c r="U21" s="79"/>
      <c r="V21" s="77"/>
      <c r="W21" s="78"/>
      <c r="X21" s="79"/>
      <c r="Y21" s="92"/>
    </row>
    <row r="22" spans="1:25" ht="28.5" customHeight="1">
      <c r="A22" s="32"/>
      <c r="B22" s="33"/>
      <c r="C22" s="13"/>
      <c r="D22" s="33"/>
      <c r="E22" s="29" t="s">
        <v>14</v>
      </c>
      <c r="F22" s="30">
        <v>30</v>
      </c>
      <c r="G22" s="30">
        <v>0</v>
      </c>
      <c r="H22" s="30">
        <f t="shared" si="0"/>
        <v>30</v>
      </c>
      <c r="I22" s="30"/>
      <c r="J22" s="30"/>
      <c r="K22" s="31"/>
      <c r="L22" s="30"/>
      <c r="M22" s="31"/>
      <c r="N22" s="30"/>
      <c r="O22" s="31"/>
      <c r="P22" s="30"/>
      <c r="Q22" s="31"/>
      <c r="R22" s="76"/>
      <c r="S22" s="77"/>
      <c r="T22" s="78"/>
      <c r="U22" s="79"/>
      <c r="V22" s="77"/>
      <c r="W22" s="78"/>
      <c r="X22" s="79"/>
      <c r="Y22" s="92"/>
    </row>
    <row r="23" spans="1:25" ht="28.5" customHeight="1">
      <c r="A23" s="32"/>
      <c r="B23" s="28"/>
      <c r="C23" s="13"/>
      <c r="D23" s="28"/>
      <c r="E23" s="29" t="s">
        <v>15</v>
      </c>
      <c r="F23" s="30">
        <v>30</v>
      </c>
      <c r="G23" s="30">
        <v>0</v>
      </c>
      <c r="H23" s="30">
        <f t="shared" si="0"/>
        <v>30</v>
      </c>
      <c r="I23" s="30"/>
      <c r="J23" s="30"/>
      <c r="K23" s="31"/>
      <c r="L23" s="30"/>
      <c r="M23" s="31"/>
      <c r="N23" s="30"/>
      <c r="O23" s="31"/>
      <c r="P23" s="30"/>
      <c r="Q23" s="31"/>
      <c r="R23" s="76"/>
      <c r="S23" s="77"/>
      <c r="T23" s="78"/>
      <c r="U23" s="79"/>
      <c r="V23" s="77"/>
      <c r="W23" s="78"/>
      <c r="X23" s="79"/>
      <c r="Y23" s="92"/>
    </row>
    <row r="24" spans="1:25" ht="28.5" customHeight="1">
      <c r="A24" s="32"/>
      <c r="B24" s="28"/>
      <c r="C24" s="13"/>
      <c r="D24" s="28"/>
      <c r="E24" s="29" t="s">
        <v>16</v>
      </c>
      <c r="F24" s="30">
        <v>30</v>
      </c>
      <c r="G24" s="30">
        <v>0</v>
      </c>
      <c r="H24" s="30">
        <f t="shared" si="0"/>
        <v>30</v>
      </c>
      <c r="I24" s="30"/>
      <c r="J24" s="30"/>
      <c r="K24" s="31"/>
      <c r="L24" s="30"/>
      <c r="M24" s="31"/>
      <c r="N24" s="30"/>
      <c r="O24" s="31"/>
      <c r="P24" s="30"/>
      <c r="Q24" s="31"/>
      <c r="R24" s="76"/>
      <c r="S24" s="77"/>
      <c r="T24" s="78"/>
      <c r="U24" s="79"/>
      <c r="V24" s="77"/>
      <c r="W24" s="78"/>
      <c r="X24" s="79"/>
      <c r="Y24" s="92"/>
    </row>
    <row r="25" spans="1:25" ht="28.5" customHeight="1">
      <c r="A25" s="32"/>
      <c r="B25" s="33"/>
      <c r="C25" s="13"/>
      <c r="D25" s="33"/>
      <c r="E25" s="29" t="s">
        <v>17</v>
      </c>
      <c r="F25" s="30">
        <v>30</v>
      </c>
      <c r="G25" s="30">
        <v>0</v>
      </c>
      <c r="H25" s="30">
        <f t="shared" si="0"/>
        <v>30</v>
      </c>
      <c r="I25" s="30"/>
      <c r="J25" s="30"/>
      <c r="K25" s="31"/>
      <c r="L25" s="30"/>
      <c r="M25" s="31"/>
      <c r="N25" s="30"/>
      <c r="O25" s="31"/>
      <c r="P25" s="30"/>
      <c r="Q25" s="31"/>
      <c r="R25" s="76"/>
      <c r="S25" s="77"/>
      <c r="T25" s="78"/>
      <c r="U25" s="79"/>
      <c r="V25" s="77"/>
      <c r="W25" s="78"/>
      <c r="X25" s="79"/>
      <c r="Y25" s="92"/>
    </row>
    <row r="26" spans="1:25" ht="28.5" customHeight="1">
      <c r="A26" s="32"/>
      <c r="B26" s="28"/>
      <c r="C26" s="13"/>
      <c r="D26" s="28"/>
      <c r="E26" s="29" t="s">
        <v>18</v>
      </c>
      <c r="F26" s="30">
        <v>30</v>
      </c>
      <c r="G26" s="30">
        <v>0</v>
      </c>
      <c r="H26" s="30">
        <f t="shared" si="0"/>
        <v>30</v>
      </c>
      <c r="I26" s="30"/>
      <c r="J26" s="30"/>
      <c r="K26" s="31"/>
      <c r="L26" s="30"/>
      <c r="M26" s="31"/>
      <c r="N26" s="30"/>
      <c r="O26" s="31"/>
      <c r="P26" s="30"/>
      <c r="Q26" s="31"/>
      <c r="R26" s="76"/>
      <c r="S26" s="77"/>
      <c r="T26" s="78"/>
      <c r="U26" s="79"/>
      <c r="V26" s="77"/>
      <c r="W26" s="78"/>
      <c r="X26" s="79"/>
      <c r="Y26" s="92"/>
    </row>
    <row r="27" spans="1:25" ht="28.5" customHeight="1">
      <c r="A27" s="32">
        <v>26</v>
      </c>
      <c r="B27" s="28"/>
      <c r="C27" s="13"/>
      <c r="D27" s="28"/>
      <c r="E27" s="29" t="s">
        <v>19</v>
      </c>
      <c r="F27" s="30">
        <v>30</v>
      </c>
      <c r="G27" s="30">
        <v>0</v>
      </c>
      <c r="H27" s="30">
        <f t="shared" si="0"/>
        <v>30</v>
      </c>
      <c r="I27" s="30"/>
      <c r="J27" s="30"/>
      <c r="K27" s="31"/>
      <c r="L27" s="30"/>
      <c r="M27" s="31"/>
      <c r="N27" s="30"/>
      <c r="O27" s="31"/>
      <c r="P27" s="30"/>
      <c r="Q27" s="31"/>
      <c r="R27" s="76"/>
      <c r="S27" s="77"/>
      <c r="T27" s="78"/>
      <c r="U27" s="79"/>
      <c r="V27" s="77"/>
      <c r="W27" s="78"/>
      <c r="X27" s="79"/>
      <c r="Y27" s="92"/>
    </row>
    <row r="28" spans="1:25" ht="28.5" customHeight="1">
      <c r="A28" s="32"/>
      <c r="B28" s="33"/>
      <c r="C28" s="13"/>
      <c r="D28" s="33"/>
      <c r="E28" s="29" t="s">
        <v>20</v>
      </c>
      <c r="F28" s="30">
        <v>30</v>
      </c>
      <c r="G28" s="30">
        <v>0</v>
      </c>
      <c r="H28" s="30">
        <f t="shared" si="0"/>
        <v>30</v>
      </c>
      <c r="I28" s="30"/>
      <c r="J28" s="30"/>
      <c r="K28" s="31"/>
      <c r="L28" s="30"/>
      <c r="M28" s="31"/>
      <c r="N28" s="30"/>
      <c r="O28" s="31"/>
      <c r="P28" s="30"/>
      <c r="Q28" s="31"/>
      <c r="R28" s="76"/>
      <c r="S28" s="77"/>
      <c r="T28" s="78"/>
      <c r="U28" s="79"/>
      <c r="V28" s="77"/>
      <c r="W28" s="78"/>
      <c r="X28" s="79"/>
      <c r="Y28" s="92"/>
    </row>
    <row r="29" spans="1:25" ht="28.5" customHeight="1">
      <c r="A29" s="32"/>
      <c r="B29" s="28"/>
      <c r="C29" s="13"/>
      <c r="D29" s="28"/>
      <c r="E29" s="29" t="s">
        <v>21</v>
      </c>
      <c r="F29" s="30">
        <v>42</v>
      </c>
      <c r="G29" s="30">
        <v>0</v>
      </c>
      <c r="H29" s="30">
        <f t="shared" si="0"/>
        <v>42</v>
      </c>
      <c r="I29" s="30"/>
      <c r="J29" s="30"/>
      <c r="K29" s="31"/>
      <c r="L29" s="30"/>
      <c r="M29" s="31"/>
      <c r="N29" s="30"/>
      <c r="O29" s="31"/>
      <c r="P29" s="30"/>
      <c r="Q29" s="31"/>
      <c r="R29" s="76"/>
      <c r="S29" s="77"/>
      <c r="T29" s="78"/>
      <c r="U29" s="79"/>
      <c r="V29" s="77"/>
      <c r="W29" s="78"/>
      <c r="X29" s="79"/>
      <c r="Y29" s="92"/>
    </row>
    <row r="30" spans="1:25" ht="28.5" customHeight="1">
      <c r="A30" s="32"/>
      <c r="B30" s="33"/>
      <c r="C30" s="13"/>
      <c r="D30" s="33"/>
      <c r="E30" s="29" t="s">
        <v>22</v>
      </c>
      <c r="F30" s="30">
        <v>42</v>
      </c>
      <c r="G30" s="30">
        <v>0</v>
      </c>
      <c r="H30" s="30">
        <f t="shared" si="0"/>
        <v>42</v>
      </c>
      <c r="I30" s="30"/>
      <c r="J30" s="30"/>
      <c r="K30" s="31"/>
      <c r="L30" s="30"/>
      <c r="M30" s="31"/>
      <c r="N30" s="30"/>
      <c r="O30" s="31"/>
      <c r="P30" s="30"/>
      <c r="Q30" s="31"/>
      <c r="R30" s="76"/>
      <c r="S30" s="77"/>
      <c r="T30" s="78"/>
      <c r="U30" s="79"/>
      <c r="V30" s="77"/>
      <c r="W30" s="78"/>
      <c r="X30" s="79"/>
      <c r="Y30" s="92"/>
    </row>
    <row r="31" spans="1:25" ht="28.5" customHeight="1">
      <c r="A31" s="32"/>
      <c r="B31" s="33"/>
      <c r="C31" s="13"/>
      <c r="D31" s="34"/>
      <c r="E31" s="29" t="s">
        <v>23</v>
      </c>
      <c r="F31" s="30">
        <v>42</v>
      </c>
      <c r="G31" s="30">
        <v>0</v>
      </c>
      <c r="H31" s="30">
        <f t="shared" si="0"/>
        <v>42</v>
      </c>
      <c r="I31" s="30"/>
      <c r="J31" s="30"/>
      <c r="K31" s="31"/>
      <c r="L31" s="30"/>
      <c r="M31" s="31"/>
      <c r="N31" s="30"/>
      <c r="O31" s="31"/>
      <c r="P31" s="30"/>
      <c r="Q31" s="31"/>
      <c r="R31" s="76"/>
      <c r="S31" s="77"/>
      <c r="T31" s="78"/>
      <c r="U31" s="79"/>
      <c r="V31" s="77"/>
      <c r="W31" s="78"/>
      <c r="X31" s="79"/>
      <c r="Y31" s="92"/>
    </row>
    <row r="32" spans="1:25" ht="28.5" customHeight="1">
      <c r="A32" s="32"/>
      <c r="B32" s="35"/>
      <c r="C32" s="13"/>
      <c r="D32" s="36"/>
      <c r="E32" s="29" t="s">
        <v>24</v>
      </c>
      <c r="F32" s="30">
        <v>42</v>
      </c>
      <c r="G32" s="30">
        <v>0</v>
      </c>
      <c r="H32" s="30">
        <f t="shared" si="0"/>
        <v>42</v>
      </c>
      <c r="I32" s="30"/>
      <c r="J32" s="30"/>
      <c r="K32" s="31"/>
      <c r="L32" s="30"/>
      <c r="M32" s="31"/>
      <c r="N32" s="30"/>
      <c r="O32" s="31"/>
      <c r="P32" s="30"/>
      <c r="Q32" s="31"/>
      <c r="R32" s="76"/>
      <c r="S32" s="77"/>
      <c r="T32" s="78"/>
      <c r="U32" s="79"/>
      <c r="V32" s="77"/>
      <c r="W32" s="78"/>
      <c r="X32" s="79"/>
      <c r="Y32" s="92"/>
    </row>
    <row r="33" spans="1:25" ht="28.5" customHeight="1">
      <c r="A33" s="32"/>
      <c r="B33" s="37"/>
      <c r="C33" s="13"/>
      <c r="D33" s="38"/>
      <c r="E33" s="29" t="s">
        <v>25</v>
      </c>
      <c r="F33" s="30">
        <v>42</v>
      </c>
      <c r="G33" s="30">
        <v>0</v>
      </c>
      <c r="H33" s="30">
        <f t="shared" si="0"/>
        <v>42</v>
      </c>
      <c r="I33" s="30"/>
      <c r="J33" s="30"/>
      <c r="K33" s="31"/>
      <c r="L33" s="30"/>
      <c r="M33" s="31"/>
      <c r="N33" s="30"/>
      <c r="O33" s="31"/>
      <c r="P33" s="30"/>
      <c r="Q33" s="31"/>
      <c r="R33" s="76"/>
      <c r="S33" s="77"/>
      <c r="T33" s="78"/>
      <c r="U33" s="79"/>
      <c r="V33" s="77"/>
      <c r="W33" s="78"/>
      <c r="X33" s="79"/>
      <c r="Y33" s="92"/>
    </row>
    <row r="34" spans="1:25" ht="28.5" customHeight="1">
      <c r="A34" s="32"/>
      <c r="B34" s="37"/>
      <c r="C34" s="13"/>
      <c r="D34" s="38"/>
      <c r="E34" s="29" t="s">
        <v>26</v>
      </c>
      <c r="F34" s="30">
        <v>42</v>
      </c>
      <c r="G34" s="30">
        <v>0</v>
      </c>
      <c r="H34" s="30">
        <f t="shared" si="0"/>
        <v>42</v>
      </c>
      <c r="I34" s="30"/>
      <c r="J34" s="30"/>
      <c r="K34" s="31"/>
      <c r="L34" s="30"/>
      <c r="M34" s="31"/>
      <c r="N34" s="30"/>
      <c r="O34" s="31"/>
      <c r="P34" s="30"/>
      <c r="Q34" s="31"/>
      <c r="R34" s="76"/>
      <c r="S34" s="77"/>
      <c r="T34" s="78"/>
      <c r="U34" s="79"/>
      <c r="V34" s="77"/>
      <c r="W34" s="78"/>
      <c r="X34" s="79"/>
      <c r="Y34" s="92"/>
    </row>
    <row r="35" spans="1:25" ht="28.5" customHeight="1">
      <c r="A35" s="32"/>
      <c r="B35" s="37"/>
      <c r="C35" s="13"/>
      <c r="D35" s="38"/>
      <c r="E35" s="29" t="s">
        <v>27</v>
      </c>
      <c r="F35" s="30">
        <v>41</v>
      </c>
      <c r="G35" s="30">
        <v>0</v>
      </c>
      <c r="H35" s="30">
        <f t="shared" si="0"/>
        <v>41</v>
      </c>
      <c r="I35" s="30"/>
      <c r="J35" s="30"/>
      <c r="K35" s="31"/>
      <c r="L35" s="30"/>
      <c r="M35" s="31"/>
      <c r="N35" s="30"/>
      <c r="O35" s="31"/>
      <c r="P35" s="30"/>
      <c r="Q35" s="31"/>
      <c r="R35" s="76"/>
      <c r="S35" s="77"/>
      <c r="T35" s="78"/>
      <c r="U35" s="79"/>
      <c r="V35" s="77"/>
      <c r="W35" s="78"/>
      <c r="X35" s="79"/>
      <c r="Y35" s="92"/>
    </row>
    <row r="36" spans="1:25" ht="28.5" customHeight="1">
      <c r="A36" s="32"/>
      <c r="B36" s="37"/>
      <c r="C36" s="13"/>
      <c r="D36" s="38"/>
      <c r="E36" s="29" t="s">
        <v>28</v>
      </c>
      <c r="F36" s="30">
        <v>41</v>
      </c>
      <c r="G36" s="30">
        <v>0</v>
      </c>
      <c r="H36" s="30">
        <f t="shared" si="0"/>
        <v>41</v>
      </c>
      <c r="I36" s="30"/>
      <c r="J36" s="30"/>
      <c r="K36" s="31"/>
      <c r="L36" s="30"/>
      <c r="M36" s="31"/>
      <c r="N36" s="30"/>
      <c r="O36" s="31"/>
      <c r="P36" s="30"/>
      <c r="Q36" s="31"/>
      <c r="R36" s="76"/>
      <c r="S36" s="77"/>
      <c r="T36" s="78"/>
      <c r="U36" s="79"/>
      <c r="V36" s="77"/>
      <c r="W36" s="78"/>
      <c r="X36" s="79"/>
      <c r="Y36" s="92"/>
    </row>
    <row r="37" spans="1:25" ht="28.5" customHeight="1">
      <c r="A37" s="32"/>
      <c r="B37" s="37"/>
      <c r="C37" s="13"/>
      <c r="D37" s="38"/>
      <c r="E37" s="29" t="s">
        <v>29</v>
      </c>
      <c r="F37" s="30">
        <v>41</v>
      </c>
      <c r="G37" s="30">
        <v>0</v>
      </c>
      <c r="H37" s="30">
        <f t="shared" si="0"/>
        <v>41</v>
      </c>
      <c r="I37" s="30"/>
      <c r="J37" s="30"/>
      <c r="K37" s="31"/>
      <c r="L37" s="30"/>
      <c r="M37" s="31"/>
      <c r="N37" s="30"/>
      <c r="O37" s="31"/>
      <c r="P37" s="30"/>
      <c r="Q37" s="31"/>
      <c r="R37" s="76"/>
      <c r="S37" s="77"/>
      <c r="T37" s="78"/>
      <c r="U37" s="79"/>
      <c r="V37" s="77"/>
      <c r="W37" s="78"/>
      <c r="X37" s="79"/>
      <c r="Y37" s="92"/>
    </row>
    <row r="38" spans="1:25" ht="28.5" customHeight="1">
      <c r="A38" s="32"/>
      <c r="B38" s="37"/>
      <c r="C38" s="13"/>
      <c r="D38" s="38"/>
      <c r="E38" s="29" t="s">
        <v>30</v>
      </c>
      <c r="F38" s="30">
        <v>41</v>
      </c>
      <c r="G38" s="30">
        <v>0</v>
      </c>
      <c r="H38" s="30">
        <f t="shared" si="0"/>
        <v>41</v>
      </c>
      <c r="I38" s="30"/>
      <c r="J38" s="30"/>
      <c r="K38" s="31"/>
      <c r="L38" s="30"/>
      <c r="M38" s="31"/>
      <c r="N38" s="30"/>
      <c r="O38" s="31"/>
      <c r="P38" s="30"/>
      <c r="Q38" s="31"/>
      <c r="R38" s="76"/>
      <c r="S38" s="77"/>
      <c r="T38" s="78"/>
      <c r="U38" s="79"/>
      <c r="V38" s="77"/>
      <c r="W38" s="78"/>
      <c r="X38" s="79"/>
      <c r="Y38" s="92"/>
    </row>
    <row r="39" spans="1:25" ht="28.5" customHeight="1">
      <c r="A39" s="32"/>
      <c r="B39" s="37"/>
      <c r="C39" s="13"/>
      <c r="D39" s="38"/>
      <c r="E39" s="29" t="s">
        <v>31</v>
      </c>
      <c r="F39" s="30">
        <v>41</v>
      </c>
      <c r="G39" s="30">
        <v>0</v>
      </c>
      <c r="H39" s="30">
        <f t="shared" si="0"/>
        <v>41</v>
      </c>
      <c r="I39" s="30"/>
      <c r="J39" s="30"/>
      <c r="K39" s="31"/>
      <c r="L39" s="30"/>
      <c r="M39" s="31"/>
      <c r="N39" s="30"/>
      <c r="O39" s="31"/>
      <c r="P39" s="30"/>
      <c r="Q39" s="31"/>
      <c r="R39" s="76"/>
      <c r="S39" s="77"/>
      <c r="T39" s="78"/>
      <c r="U39" s="79"/>
      <c r="V39" s="77"/>
      <c r="W39" s="78"/>
      <c r="X39" s="79"/>
      <c r="Y39" s="92"/>
    </row>
    <row r="40" spans="1:25" ht="28.5" customHeight="1">
      <c r="A40" s="32"/>
      <c r="B40" s="37"/>
      <c r="C40" s="13"/>
      <c r="D40" s="38"/>
      <c r="E40" s="29" t="s">
        <v>32</v>
      </c>
      <c r="F40" s="30">
        <v>41</v>
      </c>
      <c r="G40" s="30">
        <v>0</v>
      </c>
      <c r="H40" s="30">
        <f t="shared" si="0"/>
        <v>41</v>
      </c>
      <c r="I40" s="30"/>
      <c r="K40" s="31"/>
      <c r="L40" s="30"/>
      <c r="M40" s="31"/>
      <c r="N40" s="30"/>
      <c r="O40" s="31"/>
      <c r="P40" s="30"/>
      <c r="Q40" s="31"/>
      <c r="R40" s="76"/>
      <c r="S40" s="77"/>
      <c r="T40" s="78"/>
      <c r="U40" s="79"/>
      <c r="V40" s="77"/>
      <c r="W40" s="78"/>
      <c r="X40" s="79"/>
      <c r="Y40" s="92"/>
    </row>
    <row r="41" spans="1:25" ht="28.5" customHeight="1">
      <c r="A41" s="32"/>
      <c r="B41" s="37"/>
      <c r="C41" s="13"/>
      <c r="D41" s="38"/>
      <c r="E41" s="29" t="s">
        <v>33</v>
      </c>
      <c r="F41" s="30">
        <v>41</v>
      </c>
      <c r="G41" s="30">
        <v>0</v>
      </c>
      <c r="H41" s="30">
        <f t="shared" si="0"/>
        <v>41</v>
      </c>
      <c r="I41" s="30"/>
      <c r="J41" s="30"/>
      <c r="K41" s="31"/>
      <c r="L41" s="30"/>
      <c r="M41" s="31"/>
      <c r="N41" s="30"/>
      <c r="O41" s="31"/>
      <c r="P41" s="30"/>
      <c r="Q41" s="31"/>
      <c r="R41" s="76"/>
      <c r="S41" s="77"/>
      <c r="T41" s="78"/>
      <c r="U41" s="79"/>
      <c r="V41" s="77"/>
      <c r="W41" s="78"/>
      <c r="X41" s="79"/>
      <c r="Y41" s="92"/>
    </row>
    <row r="42" spans="1:25" ht="28.5" customHeight="1">
      <c r="A42" s="32"/>
      <c r="B42" s="37"/>
      <c r="C42" s="13"/>
      <c r="D42" s="38"/>
      <c r="E42" s="29" t="s">
        <v>34</v>
      </c>
      <c r="F42" s="30">
        <v>41</v>
      </c>
      <c r="G42" s="30">
        <v>0</v>
      </c>
      <c r="H42" s="30">
        <f t="shared" si="0"/>
        <v>41</v>
      </c>
      <c r="I42" s="30"/>
      <c r="J42" s="30"/>
      <c r="K42" s="31"/>
      <c r="L42" s="30"/>
      <c r="M42" s="31"/>
      <c r="N42" s="30"/>
      <c r="O42" s="31"/>
      <c r="P42" s="30"/>
      <c r="Q42" s="31"/>
      <c r="R42" s="76"/>
      <c r="S42" s="77"/>
      <c r="T42" s="78"/>
      <c r="U42" s="79"/>
      <c r="V42" s="77"/>
      <c r="W42" s="78"/>
      <c r="X42" s="79"/>
      <c r="Y42" s="92"/>
    </row>
    <row r="43" spans="1:25" ht="28.5" customHeight="1">
      <c r="A43" s="32"/>
      <c r="B43" s="37"/>
      <c r="C43" s="13"/>
      <c r="D43" s="38"/>
      <c r="E43" s="29" t="s">
        <v>35</v>
      </c>
      <c r="F43" s="30">
        <v>41</v>
      </c>
      <c r="G43" s="30">
        <v>0</v>
      </c>
      <c r="H43" s="30">
        <f t="shared" si="0"/>
        <v>41</v>
      </c>
      <c r="I43" s="30"/>
      <c r="J43" s="30"/>
      <c r="K43" s="31"/>
      <c r="L43" s="30"/>
      <c r="M43" s="31"/>
      <c r="N43" s="30"/>
      <c r="O43" s="31"/>
      <c r="P43" s="30"/>
      <c r="Q43" s="31"/>
      <c r="R43" s="76"/>
      <c r="S43" s="77"/>
      <c r="T43" s="78"/>
      <c r="U43" s="79"/>
      <c r="V43" s="77"/>
      <c r="W43" s="78"/>
      <c r="X43" s="79"/>
      <c r="Y43" s="92"/>
    </row>
    <row r="44" spans="1:25" ht="28.5" customHeight="1">
      <c r="A44" s="32"/>
      <c r="B44" s="37"/>
      <c r="C44" s="39"/>
      <c r="D44" s="39"/>
      <c r="E44" s="40" t="s">
        <v>36</v>
      </c>
      <c r="F44" s="41">
        <f t="shared" ref="F44:H44" si="1">AVERAGE(F20:F43)</f>
        <v>37</v>
      </c>
      <c r="G44" s="41">
        <f t="shared" si="1"/>
        <v>0</v>
      </c>
      <c r="H44" s="41">
        <f t="shared" si="1"/>
        <v>37</v>
      </c>
      <c r="I44" s="41"/>
      <c r="J44" s="41"/>
      <c r="K44" s="41"/>
      <c r="L44" s="41"/>
      <c r="M44" s="41"/>
      <c r="N44" s="41"/>
      <c r="O44" s="41"/>
      <c r="P44" s="41"/>
      <c r="Q44" s="41"/>
      <c r="R44" s="80"/>
      <c r="S44" s="81"/>
      <c r="T44" s="81"/>
      <c r="U44" s="82"/>
      <c r="V44" s="81"/>
      <c r="W44" s="81"/>
      <c r="X44" s="82"/>
      <c r="Y44" s="92"/>
    </row>
    <row r="45" spans="1:25" ht="28.5" customHeight="1">
      <c r="A45" s="32"/>
      <c r="B45" s="37"/>
      <c r="C45" s="39"/>
      <c r="D45" s="39"/>
      <c r="E45" s="39"/>
      <c r="F45" s="39"/>
      <c r="G45" s="39"/>
      <c r="H45" s="39"/>
      <c r="I45" s="39"/>
      <c r="J45" s="39"/>
      <c r="K45" s="55"/>
      <c r="L45" s="55"/>
      <c r="M45" s="55"/>
      <c r="N45" s="34"/>
      <c r="O45" s="34"/>
      <c r="P45" s="34"/>
      <c r="Q45" s="34"/>
      <c r="R45" s="34"/>
      <c r="S45" s="34"/>
      <c r="T45" s="39"/>
      <c r="U45" s="39"/>
      <c r="V45" s="83"/>
      <c r="W45" s="83"/>
      <c r="X45" s="83"/>
      <c r="Y45" s="92"/>
    </row>
    <row r="46" spans="1:25" ht="28.5" customHeight="1">
      <c r="A46" s="7"/>
      <c r="B46" s="20"/>
      <c r="C46" s="126" t="s">
        <v>41</v>
      </c>
      <c r="D46" s="126"/>
      <c r="E46" s="126"/>
      <c r="F46" s="126"/>
      <c r="G46" s="126"/>
      <c r="H46" s="42"/>
      <c r="I46" s="42"/>
      <c r="J46" s="20"/>
      <c r="K46" s="20"/>
      <c r="L46" s="127"/>
      <c r="M46" s="128"/>
      <c r="N46" s="128"/>
      <c r="O46" s="128"/>
      <c r="P46" s="128"/>
      <c r="Q46" s="129"/>
      <c r="Y46" s="92"/>
    </row>
    <row r="47" spans="1:25" ht="28.5" customHeight="1">
      <c r="A47" s="7"/>
      <c r="B47" s="13"/>
      <c r="C47" s="43" t="s">
        <v>37</v>
      </c>
      <c r="D47" s="125"/>
      <c r="E47" s="125"/>
      <c r="F47" s="125"/>
      <c r="G47" s="125"/>
      <c r="H47" s="44"/>
      <c r="I47" s="44"/>
      <c r="J47" s="56"/>
      <c r="K47" s="56"/>
      <c r="L47" s="57"/>
      <c r="M47" s="58"/>
      <c r="N47" s="59"/>
      <c r="O47" s="84"/>
      <c r="P47" s="84"/>
      <c r="Q47" s="85"/>
      <c r="Y47" s="92"/>
    </row>
    <row r="48" spans="1:25" ht="28.5" customHeight="1">
      <c r="A48" s="7"/>
      <c r="B48" s="26"/>
      <c r="C48" s="43" t="s">
        <v>38</v>
      </c>
      <c r="D48" s="125" t="s">
        <v>54</v>
      </c>
      <c r="E48" s="125"/>
      <c r="F48" s="125"/>
      <c r="G48" s="125"/>
      <c r="H48" s="13"/>
      <c r="I48" s="13"/>
      <c r="J48" s="56"/>
      <c r="K48" s="56"/>
      <c r="L48" s="57"/>
      <c r="M48" s="58"/>
      <c r="N48" s="59"/>
      <c r="O48" s="84"/>
      <c r="P48" s="84"/>
      <c r="Q48" s="85"/>
      <c r="Y48" s="92"/>
    </row>
    <row r="49" spans="1:25" ht="28.5" customHeight="1">
      <c r="A49" s="32"/>
      <c r="B49" s="13"/>
      <c r="C49" s="123" t="s">
        <v>39</v>
      </c>
      <c r="D49" s="125"/>
      <c r="E49" s="125"/>
      <c r="F49" s="125"/>
      <c r="G49" s="125"/>
      <c r="H49" s="13"/>
      <c r="I49" s="13"/>
      <c r="J49" s="56"/>
      <c r="K49" s="56"/>
      <c r="L49" s="60"/>
      <c r="M49" s="61"/>
      <c r="N49" s="62"/>
      <c r="O49" s="86"/>
      <c r="P49" s="86"/>
      <c r="Q49" s="85"/>
      <c r="Y49" s="92"/>
    </row>
    <row r="50" spans="1:25" ht="28.5" customHeight="1">
      <c r="A50" s="32"/>
      <c r="B50" s="13"/>
      <c r="C50" s="123"/>
      <c r="D50" s="125"/>
      <c r="E50" s="125"/>
      <c r="F50" s="125"/>
      <c r="G50" s="125"/>
      <c r="H50" s="13"/>
      <c r="I50" s="13"/>
      <c r="J50" s="56"/>
      <c r="K50" s="56"/>
      <c r="L50" s="60"/>
      <c r="M50" s="61"/>
      <c r="N50" s="62"/>
      <c r="O50" s="86"/>
      <c r="P50" s="86"/>
      <c r="Q50" s="85"/>
      <c r="Y50" s="92"/>
    </row>
    <row r="51" spans="1:25" ht="28.5" customHeight="1">
      <c r="A51" s="32"/>
      <c r="B51" s="13"/>
      <c r="C51" s="43" t="s">
        <v>10</v>
      </c>
      <c r="D51" s="130">
        <f>E4</f>
        <v>46198</v>
      </c>
      <c r="E51" s="130"/>
      <c r="F51" s="130"/>
      <c r="G51" s="130"/>
      <c r="H51" s="13"/>
      <c r="I51" s="13"/>
      <c r="J51" s="63"/>
      <c r="K51" s="64"/>
      <c r="L51" s="65"/>
      <c r="M51" s="66"/>
      <c r="N51" s="67"/>
      <c r="O51" s="66"/>
      <c r="P51" s="66"/>
      <c r="Q51" s="87"/>
      <c r="Y51" s="92"/>
    </row>
    <row r="52" spans="1:25" ht="28.5" customHeight="1">
      <c r="A52" s="121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45"/>
      <c r="Y52" s="93"/>
    </row>
    <row r="53" spans="1:25" ht="28.5" customHeight="1">
      <c r="B53" s="46"/>
      <c r="G53" s="46"/>
      <c r="H53" s="46"/>
      <c r="I53" s="46"/>
      <c r="J53" s="46"/>
      <c r="K53" s="46"/>
      <c r="L53" s="46"/>
      <c r="M53" s="46"/>
      <c r="T53" s="46"/>
      <c r="U53" s="46"/>
    </row>
    <row r="54" spans="1:25" ht="28.5" customHeight="1">
      <c r="G54" s="47"/>
      <c r="H54" s="47"/>
      <c r="I54" s="47"/>
      <c r="N54" s="47"/>
      <c r="O54" s="47"/>
    </row>
  </sheetData>
  <sheetProtection formatCells="0" formatColumns="0" formatRows="0" insertColumns="0" insertRows="0" insertHyperlinks="0" deleteColumns="0" deleteRows="0" sort="0" autoFilter="0" pivotTables="0"/>
  <mergeCells count="26">
    <mergeCell ref="A52:W52"/>
    <mergeCell ref="C49:C50"/>
    <mergeCell ref="E18:E19"/>
    <mergeCell ref="D49:G50"/>
    <mergeCell ref="C46:G46"/>
    <mergeCell ref="L46:Q46"/>
    <mergeCell ref="D47:G47"/>
    <mergeCell ref="D48:G48"/>
    <mergeCell ref="D51:G51"/>
    <mergeCell ref="J18:K18"/>
    <mergeCell ref="L18:M18"/>
    <mergeCell ref="N18:O18"/>
    <mergeCell ref="P18:Q18"/>
    <mergeCell ref="G13:H13"/>
    <mergeCell ref="B2:W2"/>
    <mergeCell ref="J17:K17"/>
    <mergeCell ref="L17:M17"/>
    <mergeCell ref="N17:O17"/>
    <mergeCell ref="P17:Q17"/>
    <mergeCell ref="E11:H11"/>
    <mergeCell ref="I11:I12"/>
    <mergeCell ref="E10:I10"/>
    <mergeCell ref="E12:F12"/>
    <mergeCell ref="E13:F13"/>
    <mergeCell ref="G12:H12"/>
    <mergeCell ref="F17:H17"/>
  </mergeCells>
  <printOptions horizontalCentered="1"/>
  <pageMargins left="0.511811023622047" right="0.511811023622047" top="0.98425196850393704" bottom="0.98425196850393704" header="0.39370078740157499" footer="0.39370078740157499"/>
  <pageSetup paperSize="9" scale="35" orientation="landscape" horizontalDpi="300" verticalDpi="300" r:id="rId1"/>
  <headerFooter alignWithMargins="0">
    <oddHeader>&amp;R&amp;"Arial,Regular"LAMPIRAN 5</oddHeader>
    <oddFooter>&amp;LREVISI III SOP PGN - PLN MUARA TAWAR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717D-7D24-2D45-9F35-BB4D2C186B35}">
  <sheetPr>
    <tabColor indexed="51"/>
    <pageSetUpPr fitToPage="1"/>
  </sheetPr>
  <dimension ref="A1:WVH54"/>
  <sheetViews>
    <sheetView showGridLines="0" view="pageBreakPreview" zoomScale="83" zoomScaleNormal="70" zoomScaleSheetLayoutView="70" zoomScalePageLayoutView="77" workbookViewId="0">
      <selection activeCell="F13" sqref="F13"/>
    </sheetView>
  </sheetViews>
  <sheetFormatPr defaultColWidth="7.21875" defaultRowHeight="28.5" customHeight="1"/>
  <cols>
    <col min="1" max="1" width="2.44140625" style="3" customWidth="1"/>
    <col min="2" max="2" width="10" style="3" customWidth="1"/>
    <col min="3" max="3" width="24" style="3" customWidth="1"/>
    <col min="4" max="4" width="5.21875" style="3" customWidth="1"/>
    <col min="5" max="5" width="16.77734375" style="3" customWidth="1"/>
    <col min="6" max="6" width="20.77734375" style="3" customWidth="1"/>
    <col min="7" max="7" width="25.21875" style="3" customWidth="1"/>
    <col min="8" max="8" width="30.77734375" style="3" bestFit="1" customWidth="1"/>
    <col min="9" max="9" width="24.44140625" style="3" customWidth="1"/>
    <col min="10" max="19" width="17" style="3" customWidth="1"/>
    <col min="20" max="20" width="5.21875" style="3" customWidth="1"/>
    <col min="21" max="26" width="13.44140625" style="3" customWidth="1"/>
    <col min="27" max="245" width="7.21875" style="3"/>
    <col min="246" max="246" width="2.44140625" style="3" customWidth="1"/>
    <col min="247" max="247" width="10" style="3" customWidth="1"/>
    <col min="248" max="248" width="18" style="3" customWidth="1"/>
    <col min="249" max="249" width="11.44140625" style="3" customWidth="1"/>
    <col min="250" max="255" width="11.77734375" style="3" customWidth="1"/>
    <col min="256" max="256" width="7.21875" style="3" hidden="1" customWidth="1"/>
    <col min="257" max="258" width="11.77734375" style="3" customWidth="1"/>
    <col min="259" max="259" width="7.21875" style="3" customWidth="1"/>
    <col min="260" max="260" width="13.44140625" style="3" customWidth="1"/>
    <col min="261" max="261" width="3" style="3" customWidth="1"/>
    <col min="262" max="501" width="7.21875" style="3"/>
    <col min="502" max="502" width="2.44140625" style="3" customWidth="1"/>
    <col min="503" max="503" width="10" style="3" customWidth="1"/>
    <col min="504" max="504" width="18" style="3" customWidth="1"/>
    <col min="505" max="505" width="11.44140625" style="3" customWidth="1"/>
    <col min="506" max="511" width="11.77734375" style="3" customWidth="1"/>
    <col min="512" max="512" width="7.21875" style="3" hidden="1" customWidth="1"/>
    <col min="513" max="514" width="11.77734375" style="3" customWidth="1"/>
    <col min="515" max="515" width="7.21875" style="3" customWidth="1"/>
    <col min="516" max="516" width="13.44140625" style="3" customWidth="1"/>
    <col min="517" max="517" width="3" style="3" customWidth="1"/>
    <col min="518" max="757" width="7.21875" style="3"/>
    <col min="758" max="758" width="2.44140625" style="3" customWidth="1"/>
    <col min="759" max="759" width="10" style="3" customWidth="1"/>
    <col min="760" max="760" width="18" style="3" customWidth="1"/>
    <col min="761" max="761" width="11.44140625" style="3" customWidth="1"/>
    <col min="762" max="767" width="11.77734375" style="3" customWidth="1"/>
    <col min="768" max="768" width="7.21875" style="3" hidden="1" customWidth="1"/>
    <col min="769" max="770" width="11.77734375" style="3" customWidth="1"/>
    <col min="771" max="771" width="7.21875" style="3" customWidth="1"/>
    <col min="772" max="772" width="13.44140625" style="3" customWidth="1"/>
    <col min="773" max="773" width="3" style="3" customWidth="1"/>
    <col min="774" max="1013" width="7.21875" style="3"/>
    <col min="1014" max="1014" width="2.44140625" style="3" customWidth="1"/>
    <col min="1015" max="1015" width="10" style="3" customWidth="1"/>
    <col min="1016" max="1016" width="18" style="3" customWidth="1"/>
    <col min="1017" max="1017" width="11.44140625" style="3" customWidth="1"/>
    <col min="1018" max="1023" width="11.77734375" style="3" customWidth="1"/>
    <col min="1024" max="1024" width="7.21875" style="3" hidden="1" customWidth="1"/>
    <col min="1025" max="1026" width="11.77734375" style="3" customWidth="1"/>
    <col min="1027" max="1027" width="7.21875" style="3" customWidth="1"/>
    <col min="1028" max="1028" width="13.44140625" style="3" customWidth="1"/>
    <col min="1029" max="1029" width="3" style="3" customWidth="1"/>
    <col min="1030" max="1269" width="7.21875" style="3"/>
    <col min="1270" max="1270" width="2.44140625" style="3" customWidth="1"/>
    <col min="1271" max="1271" width="10" style="3" customWidth="1"/>
    <col min="1272" max="1272" width="18" style="3" customWidth="1"/>
    <col min="1273" max="1273" width="11.44140625" style="3" customWidth="1"/>
    <col min="1274" max="1279" width="11.77734375" style="3" customWidth="1"/>
    <col min="1280" max="1280" width="7.21875" style="3" hidden="1" customWidth="1"/>
    <col min="1281" max="1282" width="11.77734375" style="3" customWidth="1"/>
    <col min="1283" max="1283" width="7.21875" style="3" customWidth="1"/>
    <col min="1284" max="1284" width="13.44140625" style="3" customWidth="1"/>
    <col min="1285" max="1285" width="3" style="3" customWidth="1"/>
    <col min="1286" max="1525" width="7.21875" style="3"/>
    <col min="1526" max="1526" width="2.44140625" style="3" customWidth="1"/>
    <col min="1527" max="1527" width="10" style="3" customWidth="1"/>
    <col min="1528" max="1528" width="18" style="3" customWidth="1"/>
    <col min="1529" max="1529" width="11.44140625" style="3" customWidth="1"/>
    <col min="1530" max="1535" width="11.77734375" style="3" customWidth="1"/>
    <col min="1536" max="1536" width="7.21875" style="3" hidden="1" customWidth="1"/>
    <col min="1537" max="1538" width="11.77734375" style="3" customWidth="1"/>
    <col min="1539" max="1539" width="7.21875" style="3" customWidth="1"/>
    <col min="1540" max="1540" width="13.44140625" style="3" customWidth="1"/>
    <col min="1541" max="1541" width="3" style="3" customWidth="1"/>
    <col min="1542" max="1781" width="7.21875" style="3"/>
    <col min="1782" max="1782" width="2.44140625" style="3" customWidth="1"/>
    <col min="1783" max="1783" width="10" style="3" customWidth="1"/>
    <col min="1784" max="1784" width="18" style="3" customWidth="1"/>
    <col min="1785" max="1785" width="11.44140625" style="3" customWidth="1"/>
    <col min="1786" max="1791" width="11.77734375" style="3" customWidth="1"/>
    <col min="1792" max="1792" width="7.21875" style="3" hidden="1" customWidth="1"/>
    <col min="1793" max="1794" width="11.77734375" style="3" customWidth="1"/>
    <col min="1795" max="1795" width="7.21875" style="3" customWidth="1"/>
    <col min="1796" max="1796" width="13.44140625" style="3" customWidth="1"/>
    <col min="1797" max="1797" width="3" style="3" customWidth="1"/>
    <col min="1798" max="2037" width="7.21875" style="3"/>
    <col min="2038" max="2038" width="2.44140625" style="3" customWidth="1"/>
    <col min="2039" max="2039" width="10" style="3" customWidth="1"/>
    <col min="2040" max="2040" width="18" style="3" customWidth="1"/>
    <col min="2041" max="2041" width="11.44140625" style="3" customWidth="1"/>
    <col min="2042" max="2047" width="11.77734375" style="3" customWidth="1"/>
    <col min="2048" max="2048" width="7.21875" style="3" hidden="1" customWidth="1"/>
    <col min="2049" max="2050" width="11.77734375" style="3" customWidth="1"/>
    <col min="2051" max="2051" width="7.21875" style="3" customWidth="1"/>
    <col min="2052" max="2052" width="13.44140625" style="3" customWidth="1"/>
    <col min="2053" max="2053" width="3" style="3" customWidth="1"/>
    <col min="2054" max="2293" width="7.21875" style="3"/>
    <col min="2294" max="2294" width="2.44140625" style="3" customWidth="1"/>
    <col min="2295" max="2295" width="10" style="3" customWidth="1"/>
    <col min="2296" max="2296" width="18" style="3" customWidth="1"/>
    <col min="2297" max="2297" width="11.44140625" style="3" customWidth="1"/>
    <col min="2298" max="2303" width="11.77734375" style="3" customWidth="1"/>
    <col min="2304" max="2304" width="7.21875" style="3" hidden="1" customWidth="1"/>
    <col min="2305" max="2306" width="11.77734375" style="3" customWidth="1"/>
    <col min="2307" max="2307" width="7.21875" style="3" customWidth="1"/>
    <col min="2308" max="2308" width="13.44140625" style="3" customWidth="1"/>
    <col min="2309" max="2309" width="3" style="3" customWidth="1"/>
    <col min="2310" max="2549" width="7.21875" style="3"/>
    <col min="2550" max="2550" width="2.44140625" style="3" customWidth="1"/>
    <col min="2551" max="2551" width="10" style="3" customWidth="1"/>
    <col min="2552" max="2552" width="18" style="3" customWidth="1"/>
    <col min="2553" max="2553" width="11.44140625" style="3" customWidth="1"/>
    <col min="2554" max="2559" width="11.77734375" style="3" customWidth="1"/>
    <col min="2560" max="2560" width="7.21875" style="3" hidden="1" customWidth="1"/>
    <col min="2561" max="2562" width="11.77734375" style="3" customWidth="1"/>
    <col min="2563" max="2563" width="7.21875" style="3" customWidth="1"/>
    <col min="2564" max="2564" width="13.44140625" style="3" customWidth="1"/>
    <col min="2565" max="2565" width="3" style="3" customWidth="1"/>
    <col min="2566" max="2805" width="7.21875" style="3"/>
    <col min="2806" max="2806" width="2.44140625" style="3" customWidth="1"/>
    <col min="2807" max="2807" width="10" style="3" customWidth="1"/>
    <col min="2808" max="2808" width="18" style="3" customWidth="1"/>
    <col min="2809" max="2809" width="11.44140625" style="3" customWidth="1"/>
    <col min="2810" max="2815" width="11.77734375" style="3" customWidth="1"/>
    <col min="2816" max="2816" width="7.21875" style="3" hidden="1" customWidth="1"/>
    <col min="2817" max="2818" width="11.77734375" style="3" customWidth="1"/>
    <col min="2819" max="2819" width="7.21875" style="3" customWidth="1"/>
    <col min="2820" max="2820" width="13.44140625" style="3" customWidth="1"/>
    <col min="2821" max="2821" width="3" style="3" customWidth="1"/>
    <col min="2822" max="3061" width="7.21875" style="3"/>
    <col min="3062" max="3062" width="2.44140625" style="3" customWidth="1"/>
    <col min="3063" max="3063" width="10" style="3" customWidth="1"/>
    <col min="3064" max="3064" width="18" style="3" customWidth="1"/>
    <col min="3065" max="3065" width="11.44140625" style="3" customWidth="1"/>
    <col min="3066" max="3071" width="11.77734375" style="3" customWidth="1"/>
    <col min="3072" max="3072" width="7.21875" style="3" hidden="1" customWidth="1"/>
    <col min="3073" max="3074" width="11.77734375" style="3" customWidth="1"/>
    <col min="3075" max="3075" width="7.21875" style="3" customWidth="1"/>
    <col min="3076" max="3076" width="13.44140625" style="3" customWidth="1"/>
    <col min="3077" max="3077" width="3" style="3" customWidth="1"/>
    <col min="3078" max="3317" width="7.21875" style="3"/>
    <col min="3318" max="3318" width="2.44140625" style="3" customWidth="1"/>
    <col min="3319" max="3319" width="10" style="3" customWidth="1"/>
    <col min="3320" max="3320" width="18" style="3" customWidth="1"/>
    <col min="3321" max="3321" width="11.44140625" style="3" customWidth="1"/>
    <col min="3322" max="3327" width="11.77734375" style="3" customWidth="1"/>
    <col min="3328" max="3328" width="7.21875" style="3" hidden="1" customWidth="1"/>
    <col min="3329" max="3330" width="11.77734375" style="3" customWidth="1"/>
    <col min="3331" max="3331" width="7.21875" style="3" customWidth="1"/>
    <col min="3332" max="3332" width="13.44140625" style="3" customWidth="1"/>
    <col min="3333" max="3333" width="3" style="3" customWidth="1"/>
    <col min="3334" max="3573" width="7.21875" style="3"/>
    <col min="3574" max="3574" width="2.44140625" style="3" customWidth="1"/>
    <col min="3575" max="3575" width="10" style="3" customWidth="1"/>
    <col min="3576" max="3576" width="18" style="3" customWidth="1"/>
    <col min="3577" max="3577" width="11.44140625" style="3" customWidth="1"/>
    <col min="3578" max="3583" width="11.77734375" style="3" customWidth="1"/>
    <col min="3584" max="3584" width="7.21875" style="3" hidden="1" customWidth="1"/>
    <col min="3585" max="3586" width="11.77734375" style="3" customWidth="1"/>
    <col min="3587" max="3587" width="7.21875" style="3" customWidth="1"/>
    <col min="3588" max="3588" width="13.44140625" style="3" customWidth="1"/>
    <col min="3589" max="3589" width="3" style="3" customWidth="1"/>
    <col min="3590" max="3829" width="7.21875" style="3"/>
    <col min="3830" max="3830" width="2.44140625" style="3" customWidth="1"/>
    <col min="3831" max="3831" width="10" style="3" customWidth="1"/>
    <col min="3832" max="3832" width="18" style="3" customWidth="1"/>
    <col min="3833" max="3833" width="11.44140625" style="3" customWidth="1"/>
    <col min="3834" max="3839" width="11.77734375" style="3" customWidth="1"/>
    <col min="3840" max="3840" width="7.21875" style="3" hidden="1" customWidth="1"/>
    <col min="3841" max="3842" width="11.77734375" style="3" customWidth="1"/>
    <col min="3843" max="3843" width="7.21875" style="3" customWidth="1"/>
    <col min="3844" max="3844" width="13.44140625" style="3" customWidth="1"/>
    <col min="3845" max="3845" width="3" style="3" customWidth="1"/>
    <col min="3846" max="4085" width="7.21875" style="3"/>
    <col min="4086" max="4086" width="2.44140625" style="3" customWidth="1"/>
    <col min="4087" max="4087" width="10" style="3" customWidth="1"/>
    <col min="4088" max="4088" width="18" style="3" customWidth="1"/>
    <col min="4089" max="4089" width="11.44140625" style="3" customWidth="1"/>
    <col min="4090" max="4095" width="11.77734375" style="3" customWidth="1"/>
    <col min="4096" max="4096" width="7.21875" style="3" hidden="1" customWidth="1"/>
    <col min="4097" max="4098" width="11.77734375" style="3" customWidth="1"/>
    <col min="4099" max="4099" width="7.21875" style="3" customWidth="1"/>
    <col min="4100" max="4100" width="13.44140625" style="3" customWidth="1"/>
    <col min="4101" max="4101" width="3" style="3" customWidth="1"/>
    <col min="4102" max="4341" width="7.21875" style="3"/>
    <col min="4342" max="4342" width="2.44140625" style="3" customWidth="1"/>
    <col min="4343" max="4343" width="10" style="3" customWidth="1"/>
    <col min="4344" max="4344" width="18" style="3" customWidth="1"/>
    <col min="4345" max="4345" width="11.44140625" style="3" customWidth="1"/>
    <col min="4346" max="4351" width="11.77734375" style="3" customWidth="1"/>
    <col min="4352" max="4352" width="7.21875" style="3" hidden="1" customWidth="1"/>
    <col min="4353" max="4354" width="11.77734375" style="3" customWidth="1"/>
    <col min="4355" max="4355" width="7.21875" style="3" customWidth="1"/>
    <col min="4356" max="4356" width="13.44140625" style="3" customWidth="1"/>
    <col min="4357" max="4357" width="3" style="3" customWidth="1"/>
    <col min="4358" max="4597" width="7.21875" style="3"/>
    <col min="4598" max="4598" width="2.44140625" style="3" customWidth="1"/>
    <col min="4599" max="4599" width="10" style="3" customWidth="1"/>
    <col min="4600" max="4600" width="18" style="3" customWidth="1"/>
    <col min="4601" max="4601" width="11.44140625" style="3" customWidth="1"/>
    <col min="4602" max="4607" width="11.77734375" style="3" customWidth="1"/>
    <col min="4608" max="4608" width="7.21875" style="3" hidden="1" customWidth="1"/>
    <col min="4609" max="4610" width="11.77734375" style="3" customWidth="1"/>
    <col min="4611" max="4611" width="7.21875" style="3" customWidth="1"/>
    <col min="4612" max="4612" width="13.44140625" style="3" customWidth="1"/>
    <col min="4613" max="4613" width="3" style="3" customWidth="1"/>
    <col min="4614" max="4853" width="7.21875" style="3"/>
    <col min="4854" max="4854" width="2.44140625" style="3" customWidth="1"/>
    <col min="4855" max="4855" width="10" style="3" customWidth="1"/>
    <col min="4856" max="4856" width="18" style="3" customWidth="1"/>
    <col min="4857" max="4857" width="11.44140625" style="3" customWidth="1"/>
    <col min="4858" max="4863" width="11.77734375" style="3" customWidth="1"/>
    <col min="4864" max="4864" width="7.21875" style="3" hidden="1" customWidth="1"/>
    <col min="4865" max="4866" width="11.77734375" style="3" customWidth="1"/>
    <col min="4867" max="4867" width="7.21875" style="3" customWidth="1"/>
    <col min="4868" max="4868" width="13.44140625" style="3" customWidth="1"/>
    <col min="4869" max="4869" width="3" style="3" customWidth="1"/>
    <col min="4870" max="5109" width="7.21875" style="3"/>
    <col min="5110" max="5110" width="2.44140625" style="3" customWidth="1"/>
    <col min="5111" max="5111" width="10" style="3" customWidth="1"/>
    <col min="5112" max="5112" width="18" style="3" customWidth="1"/>
    <col min="5113" max="5113" width="11.44140625" style="3" customWidth="1"/>
    <col min="5114" max="5119" width="11.77734375" style="3" customWidth="1"/>
    <col min="5120" max="5120" width="7.21875" style="3" hidden="1" customWidth="1"/>
    <col min="5121" max="5122" width="11.77734375" style="3" customWidth="1"/>
    <col min="5123" max="5123" width="7.21875" style="3" customWidth="1"/>
    <col min="5124" max="5124" width="13.44140625" style="3" customWidth="1"/>
    <col min="5125" max="5125" width="3" style="3" customWidth="1"/>
    <col min="5126" max="5365" width="7.21875" style="3"/>
    <col min="5366" max="5366" width="2.44140625" style="3" customWidth="1"/>
    <col min="5367" max="5367" width="10" style="3" customWidth="1"/>
    <col min="5368" max="5368" width="18" style="3" customWidth="1"/>
    <col min="5369" max="5369" width="11.44140625" style="3" customWidth="1"/>
    <col min="5370" max="5375" width="11.77734375" style="3" customWidth="1"/>
    <col min="5376" max="5376" width="7.21875" style="3" hidden="1" customWidth="1"/>
    <col min="5377" max="5378" width="11.77734375" style="3" customWidth="1"/>
    <col min="5379" max="5379" width="7.21875" style="3" customWidth="1"/>
    <col min="5380" max="5380" width="13.44140625" style="3" customWidth="1"/>
    <col min="5381" max="5381" width="3" style="3" customWidth="1"/>
    <col min="5382" max="5621" width="7.21875" style="3"/>
    <col min="5622" max="5622" width="2.44140625" style="3" customWidth="1"/>
    <col min="5623" max="5623" width="10" style="3" customWidth="1"/>
    <col min="5624" max="5624" width="18" style="3" customWidth="1"/>
    <col min="5625" max="5625" width="11.44140625" style="3" customWidth="1"/>
    <col min="5626" max="5631" width="11.77734375" style="3" customWidth="1"/>
    <col min="5632" max="5632" width="7.21875" style="3" hidden="1" customWidth="1"/>
    <col min="5633" max="5634" width="11.77734375" style="3" customWidth="1"/>
    <col min="5635" max="5635" width="7.21875" style="3" customWidth="1"/>
    <col min="5636" max="5636" width="13.44140625" style="3" customWidth="1"/>
    <col min="5637" max="5637" width="3" style="3" customWidth="1"/>
    <col min="5638" max="5877" width="7.21875" style="3"/>
    <col min="5878" max="5878" width="2.44140625" style="3" customWidth="1"/>
    <col min="5879" max="5879" width="10" style="3" customWidth="1"/>
    <col min="5880" max="5880" width="18" style="3" customWidth="1"/>
    <col min="5881" max="5881" width="11.44140625" style="3" customWidth="1"/>
    <col min="5882" max="5887" width="11.77734375" style="3" customWidth="1"/>
    <col min="5888" max="5888" width="7.21875" style="3" hidden="1" customWidth="1"/>
    <col min="5889" max="5890" width="11.77734375" style="3" customWidth="1"/>
    <col min="5891" max="5891" width="7.21875" style="3" customWidth="1"/>
    <col min="5892" max="5892" width="13.44140625" style="3" customWidth="1"/>
    <col min="5893" max="5893" width="3" style="3" customWidth="1"/>
    <col min="5894" max="6133" width="7.21875" style="3"/>
    <col min="6134" max="6134" width="2.44140625" style="3" customWidth="1"/>
    <col min="6135" max="6135" width="10" style="3" customWidth="1"/>
    <col min="6136" max="6136" width="18" style="3" customWidth="1"/>
    <col min="6137" max="6137" width="11.44140625" style="3" customWidth="1"/>
    <col min="6138" max="6143" width="11.77734375" style="3" customWidth="1"/>
    <col min="6144" max="6144" width="7.21875" style="3" hidden="1" customWidth="1"/>
    <col min="6145" max="6146" width="11.77734375" style="3" customWidth="1"/>
    <col min="6147" max="6147" width="7.21875" style="3" customWidth="1"/>
    <col min="6148" max="6148" width="13.44140625" style="3" customWidth="1"/>
    <col min="6149" max="6149" width="3" style="3" customWidth="1"/>
    <col min="6150" max="6389" width="7.21875" style="3"/>
    <col min="6390" max="6390" width="2.44140625" style="3" customWidth="1"/>
    <col min="6391" max="6391" width="10" style="3" customWidth="1"/>
    <col min="6392" max="6392" width="18" style="3" customWidth="1"/>
    <col min="6393" max="6393" width="11.44140625" style="3" customWidth="1"/>
    <col min="6394" max="6399" width="11.77734375" style="3" customWidth="1"/>
    <col min="6400" max="6400" width="7.21875" style="3" hidden="1" customWidth="1"/>
    <col min="6401" max="6402" width="11.77734375" style="3" customWidth="1"/>
    <col min="6403" max="6403" width="7.21875" style="3" customWidth="1"/>
    <col min="6404" max="6404" width="13.44140625" style="3" customWidth="1"/>
    <col min="6405" max="6405" width="3" style="3" customWidth="1"/>
    <col min="6406" max="6645" width="7.21875" style="3"/>
    <col min="6646" max="6646" width="2.44140625" style="3" customWidth="1"/>
    <col min="6647" max="6647" width="10" style="3" customWidth="1"/>
    <col min="6648" max="6648" width="18" style="3" customWidth="1"/>
    <col min="6649" max="6649" width="11.44140625" style="3" customWidth="1"/>
    <col min="6650" max="6655" width="11.77734375" style="3" customWidth="1"/>
    <col min="6656" max="6656" width="7.21875" style="3" hidden="1" customWidth="1"/>
    <col min="6657" max="6658" width="11.77734375" style="3" customWidth="1"/>
    <col min="6659" max="6659" width="7.21875" style="3" customWidth="1"/>
    <col min="6660" max="6660" width="13.44140625" style="3" customWidth="1"/>
    <col min="6661" max="6661" width="3" style="3" customWidth="1"/>
    <col min="6662" max="6901" width="7.21875" style="3"/>
    <col min="6902" max="6902" width="2.44140625" style="3" customWidth="1"/>
    <col min="6903" max="6903" width="10" style="3" customWidth="1"/>
    <col min="6904" max="6904" width="18" style="3" customWidth="1"/>
    <col min="6905" max="6905" width="11.44140625" style="3" customWidth="1"/>
    <col min="6906" max="6911" width="11.77734375" style="3" customWidth="1"/>
    <col min="6912" max="6912" width="7.21875" style="3" hidden="1" customWidth="1"/>
    <col min="6913" max="6914" width="11.77734375" style="3" customWidth="1"/>
    <col min="6915" max="6915" width="7.21875" style="3" customWidth="1"/>
    <col min="6916" max="6916" width="13.44140625" style="3" customWidth="1"/>
    <col min="6917" max="6917" width="3" style="3" customWidth="1"/>
    <col min="6918" max="7157" width="7.21875" style="3"/>
    <col min="7158" max="7158" width="2.44140625" style="3" customWidth="1"/>
    <col min="7159" max="7159" width="10" style="3" customWidth="1"/>
    <col min="7160" max="7160" width="18" style="3" customWidth="1"/>
    <col min="7161" max="7161" width="11.44140625" style="3" customWidth="1"/>
    <col min="7162" max="7167" width="11.77734375" style="3" customWidth="1"/>
    <col min="7168" max="7168" width="7.21875" style="3" hidden="1" customWidth="1"/>
    <col min="7169" max="7170" width="11.77734375" style="3" customWidth="1"/>
    <col min="7171" max="7171" width="7.21875" style="3" customWidth="1"/>
    <col min="7172" max="7172" width="13.44140625" style="3" customWidth="1"/>
    <col min="7173" max="7173" width="3" style="3" customWidth="1"/>
    <col min="7174" max="7413" width="7.21875" style="3"/>
    <col min="7414" max="7414" width="2.44140625" style="3" customWidth="1"/>
    <col min="7415" max="7415" width="10" style="3" customWidth="1"/>
    <col min="7416" max="7416" width="18" style="3" customWidth="1"/>
    <col min="7417" max="7417" width="11.44140625" style="3" customWidth="1"/>
    <col min="7418" max="7423" width="11.77734375" style="3" customWidth="1"/>
    <col min="7424" max="7424" width="7.21875" style="3" hidden="1" customWidth="1"/>
    <col min="7425" max="7426" width="11.77734375" style="3" customWidth="1"/>
    <col min="7427" max="7427" width="7.21875" style="3" customWidth="1"/>
    <col min="7428" max="7428" width="13.44140625" style="3" customWidth="1"/>
    <col min="7429" max="7429" width="3" style="3" customWidth="1"/>
    <col min="7430" max="7669" width="7.21875" style="3"/>
    <col min="7670" max="7670" width="2.44140625" style="3" customWidth="1"/>
    <col min="7671" max="7671" width="10" style="3" customWidth="1"/>
    <col min="7672" max="7672" width="18" style="3" customWidth="1"/>
    <col min="7673" max="7673" width="11.44140625" style="3" customWidth="1"/>
    <col min="7674" max="7679" width="11.77734375" style="3" customWidth="1"/>
    <col min="7680" max="7680" width="7.21875" style="3" hidden="1" customWidth="1"/>
    <col min="7681" max="7682" width="11.77734375" style="3" customWidth="1"/>
    <col min="7683" max="7683" width="7.21875" style="3" customWidth="1"/>
    <col min="7684" max="7684" width="13.44140625" style="3" customWidth="1"/>
    <col min="7685" max="7685" width="3" style="3" customWidth="1"/>
    <col min="7686" max="7925" width="7.21875" style="3"/>
    <col min="7926" max="7926" width="2.44140625" style="3" customWidth="1"/>
    <col min="7927" max="7927" width="10" style="3" customWidth="1"/>
    <col min="7928" max="7928" width="18" style="3" customWidth="1"/>
    <col min="7929" max="7929" width="11.44140625" style="3" customWidth="1"/>
    <col min="7930" max="7935" width="11.77734375" style="3" customWidth="1"/>
    <col min="7936" max="7936" width="7.21875" style="3" hidden="1" customWidth="1"/>
    <col min="7937" max="7938" width="11.77734375" style="3" customWidth="1"/>
    <col min="7939" max="7939" width="7.21875" style="3" customWidth="1"/>
    <col min="7940" max="7940" width="13.44140625" style="3" customWidth="1"/>
    <col min="7941" max="7941" width="3" style="3" customWidth="1"/>
    <col min="7942" max="8181" width="7.21875" style="3"/>
    <col min="8182" max="8182" width="2.44140625" style="3" customWidth="1"/>
    <col min="8183" max="8183" width="10" style="3" customWidth="1"/>
    <col min="8184" max="8184" width="18" style="3" customWidth="1"/>
    <col min="8185" max="8185" width="11.44140625" style="3" customWidth="1"/>
    <col min="8186" max="8191" width="11.77734375" style="3" customWidth="1"/>
    <col min="8192" max="8192" width="7.21875" style="3" hidden="1" customWidth="1"/>
    <col min="8193" max="8194" width="11.77734375" style="3" customWidth="1"/>
    <col min="8195" max="8195" width="7.21875" style="3" customWidth="1"/>
    <col min="8196" max="8196" width="13.44140625" style="3" customWidth="1"/>
    <col min="8197" max="8197" width="3" style="3" customWidth="1"/>
    <col min="8198" max="8437" width="7.21875" style="3"/>
    <col min="8438" max="8438" width="2.44140625" style="3" customWidth="1"/>
    <col min="8439" max="8439" width="10" style="3" customWidth="1"/>
    <col min="8440" max="8440" width="18" style="3" customWidth="1"/>
    <col min="8441" max="8441" width="11.44140625" style="3" customWidth="1"/>
    <col min="8442" max="8447" width="11.77734375" style="3" customWidth="1"/>
    <col min="8448" max="8448" width="7.21875" style="3" hidden="1" customWidth="1"/>
    <col min="8449" max="8450" width="11.77734375" style="3" customWidth="1"/>
    <col min="8451" max="8451" width="7.21875" style="3" customWidth="1"/>
    <col min="8452" max="8452" width="13.44140625" style="3" customWidth="1"/>
    <col min="8453" max="8453" width="3" style="3" customWidth="1"/>
    <col min="8454" max="8693" width="7.21875" style="3"/>
    <col min="8694" max="8694" width="2.44140625" style="3" customWidth="1"/>
    <col min="8695" max="8695" width="10" style="3" customWidth="1"/>
    <col min="8696" max="8696" width="18" style="3" customWidth="1"/>
    <col min="8697" max="8697" width="11.44140625" style="3" customWidth="1"/>
    <col min="8698" max="8703" width="11.77734375" style="3" customWidth="1"/>
    <col min="8704" max="8704" width="7.21875" style="3" hidden="1" customWidth="1"/>
    <col min="8705" max="8706" width="11.77734375" style="3" customWidth="1"/>
    <col min="8707" max="8707" width="7.21875" style="3" customWidth="1"/>
    <col min="8708" max="8708" width="13.44140625" style="3" customWidth="1"/>
    <col min="8709" max="8709" width="3" style="3" customWidth="1"/>
    <col min="8710" max="8949" width="7.21875" style="3"/>
    <col min="8950" max="8950" width="2.44140625" style="3" customWidth="1"/>
    <col min="8951" max="8951" width="10" style="3" customWidth="1"/>
    <col min="8952" max="8952" width="18" style="3" customWidth="1"/>
    <col min="8953" max="8953" width="11.44140625" style="3" customWidth="1"/>
    <col min="8954" max="8959" width="11.77734375" style="3" customWidth="1"/>
    <col min="8960" max="8960" width="7.21875" style="3" hidden="1" customWidth="1"/>
    <col min="8961" max="8962" width="11.77734375" style="3" customWidth="1"/>
    <col min="8963" max="8963" width="7.21875" style="3" customWidth="1"/>
    <col min="8964" max="8964" width="13.44140625" style="3" customWidth="1"/>
    <col min="8965" max="8965" width="3" style="3" customWidth="1"/>
    <col min="8966" max="9205" width="7.21875" style="3"/>
    <col min="9206" max="9206" width="2.44140625" style="3" customWidth="1"/>
    <col min="9207" max="9207" width="10" style="3" customWidth="1"/>
    <col min="9208" max="9208" width="18" style="3" customWidth="1"/>
    <col min="9209" max="9209" width="11.44140625" style="3" customWidth="1"/>
    <col min="9210" max="9215" width="11.77734375" style="3" customWidth="1"/>
    <col min="9216" max="9216" width="7.21875" style="3" hidden="1" customWidth="1"/>
    <col min="9217" max="9218" width="11.77734375" style="3" customWidth="1"/>
    <col min="9219" max="9219" width="7.21875" style="3" customWidth="1"/>
    <col min="9220" max="9220" width="13.44140625" style="3" customWidth="1"/>
    <col min="9221" max="9221" width="3" style="3" customWidth="1"/>
    <col min="9222" max="9461" width="7.21875" style="3"/>
    <col min="9462" max="9462" width="2.44140625" style="3" customWidth="1"/>
    <col min="9463" max="9463" width="10" style="3" customWidth="1"/>
    <col min="9464" max="9464" width="18" style="3" customWidth="1"/>
    <col min="9465" max="9465" width="11.44140625" style="3" customWidth="1"/>
    <col min="9466" max="9471" width="11.77734375" style="3" customWidth="1"/>
    <col min="9472" max="9472" width="7.21875" style="3" hidden="1" customWidth="1"/>
    <col min="9473" max="9474" width="11.77734375" style="3" customWidth="1"/>
    <col min="9475" max="9475" width="7.21875" style="3" customWidth="1"/>
    <col min="9476" max="9476" width="13.44140625" style="3" customWidth="1"/>
    <col min="9477" max="9477" width="3" style="3" customWidth="1"/>
    <col min="9478" max="9717" width="7.21875" style="3"/>
    <col min="9718" max="9718" width="2.44140625" style="3" customWidth="1"/>
    <col min="9719" max="9719" width="10" style="3" customWidth="1"/>
    <col min="9720" max="9720" width="18" style="3" customWidth="1"/>
    <col min="9721" max="9721" width="11.44140625" style="3" customWidth="1"/>
    <col min="9722" max="9727" width="11.77734375" style="3" customWidth="1"/>
    <col min="9728" max="9728" width="7.21875" style="3" hidden="1" customWidth="1"/>
    <col min="9729" max="9730" width="11.77734375" style="3" customWidth="1"/>
    <col min="9731" max="9731" width="7.21875" style="3" customWidth="1"/>
    <col min="9732" max="9732" width="13.44140625" style="3" customWidth="1"/>
    <col min="9733" max="9733" width="3" style="3" customWidth="1"/>
    <col min="9734" max="9973" width="7.21875" style="3"/>
    <col min="9974" max="9974" width="2.44140625" style="3" customWidth="1"/>
    <col min="9975" max="9975" width="10" style="3" customWidth="1"/>
    <col min="9976" max="9976" width="18" style="3" customWidth="1"/>
    <col min="9977" max="9977" width="11.44140625" style="3" customWidth="1"/>
    <col min="9978" max="9983" width="11.77734375" style="3" customWidth="1"/>
    <col min="9984" max="9984" width="7.21875" style="3" hidden="1" customWidth="1"/>
    <col min="9985" max="9986" width="11.77734375" style="3" customWidth="1"/>
    <col min="9987" max="9987" width="7.21875" style="3" customWidth="1"/>
    <col min="9988" max="9988" width="13.44140625" style="3" customWidth="1"/>
    <col min="9989" max="9989" width="3" style="3" customWidth="1"/>
    <col min="9990" max="10229" width="7.21875" style="3"/>
    <col min="10230" max="10230" width="2.44140625" style="3" customWidth="1"/>
    <col min="10231" max="10231" width="10" style="3" customWidth="1"/>
    <col min="10232" max="10232" width="18" style="3" customWidth="1"/>
    <col min="10233" max="10233" width="11.44140625" style="3" customWidth="1"/>
    <col min="10234" max="10239" width="11.77734375" style="3" customWidth="1"/>
    <col min="10240" max="10240" width="7.21875" style="3" hidden="1" customWidth="1"/>
    <col min="10241" max="10242" width="11.77734375" style="3" customWidth="1"/>
    <col min="10243" max="10243" width="7.21875" style="3" customWidth="1"/>
    <col min="10244" max="10244" width="13.44140625" style="3" customWidth="1"/>
    <col min="10245" max="10245" width="3" style="3" customWidth="1"/>
    <col min="10246" max="10485" width="7.21875" style="3"/>
    <col min="10486" max="10486" width="2.44140625" style="3" customWidth="1"/>
    <col min="10487" max="10487" width="10" style="3" customWidth="1"/>
    <col min="10488" max="10488" width="18" style="3" customWidth="1"/>
    <col min="10489" max="10489" width="11.44140625" style="3" customWidth="1"/>
    <col min="10490" max="10495" width="11.77734375" style="3" customWidth="1"/>
    <col min="10496" max="10496" width="7.21875" style="3" hidden="1" customWidth="1"/>
    <col min="10497" max="10498" width="11.77734375" style="3" customWidth="1"/>
    <col min="10499" max="10499" width="7.21875" style="3" customWidth="1"/>
    <col min="10500" max="10500" width="13.44140625" style="3" customWidth="1"/>
    <col min="10501" max="10501" width="3" style="3" customWidth="1"/>
    <col min="10502" max="10741" width="7.21875" style="3"/>
    <col min="10742" max="10742" width="2.44140625" style="3" customWidth="1"/>
    <col min="10743" max="10743" width="10" style="3" customWidth="1"/>
    <col min="10744" max="10744" width="18" style="3" customWidth="1"/>
    <col min="10745" max="10745" width="11.44140625" style="3" customWidth="1"/>
    <col min="10746" max="10751" width="11.77734375" style="3" customWidth="1"/>
    <col min="10752" max="10752" width="7.21875" style="3" hidden="1" customWidth="1"/>
    <col min="10753" max="10754" width="11.77734375" style="3" customWidth="1"/>
    <col min="10755" max="10755" width="7.21875" style="3" customWidth="1"/>
    <col min="10756" max="10756" width="13.44140625" style="3" customWidth="1"/>
    <col min="10757" max="10757" width="3" style="3" customWidth="1"/>
    <col min="10758" max="10997" width="7.21875" style="3"/>
    <col min="10998" max="10998" width="2.44140625" style="3" customWidth="1"/>
    <col min="10999" max="10999" width="10" style="3" customWidth="1"/>
    <col min="11000" max="11000" width="18" style="3" customWidth="1"/>
    <col min="11001" max="11001" width="11.44140625" style="3" customWidth="1"/>
    <col min="11002" max="11007" width="11.77734375" style="3" customWidth="1"/>
    <col min="11008" max="11008" width="7.21875" style="3" hidden="1" customWidth="1"/>
    <col min="11009" max="11010" width="11.77734375" style="3" customWidth="1"/>
    <col min="11011" max="11011" width="7.21875" style="3" customWidth="1"/>
    <col min="11012" max="11012" width="13.44140625" style="3" customWidth="1"/>
    <col min="11013" max="11013" width="3" style="3" customWidth="1"/>
    <col min="11014" max="11253" width="7.21875" style="3"/>
    <col min="11254" max="11254" width="2.44140625" style="3" customWidth="1"/>
    <col min="11255" max="11255" width="10" style="3" customWidth="1"/>
    <col min="11256" max="11256" width="18" style="3" customWidth="1"/>
    <col min="11257" max="11257" width="11.44140625" style="3" customWidth="1"/>
    <col min="11258" max="11263" width="11.77734375" style="3" customWidth="1"/>
    <col min="11264" max="11264" width="7.21875" style="3" hidden="1" customWidth="1"/>
    <col min="11265" max="11266" width="11.77734375" style="3" customWidth="1"/>
    <col min="11267" max="11267" width="7.21875" style="3" customWidth="1"/>
    <col min="11268" max="11268" width="13.44140625" style="3" customWidth="1"/>
    <col min="11269" max="11269" width="3" style="3" customWidth="1"/>
    <col min="11270" max="11509" width="7.21875" style="3"/>
    <col min="11510" max="11510" width="2.44140625" style="3" customWidth="1"/>
    <col min="11511" max="11511" width="10" style="3" customWidth="1"/>
    <col min="11512" max="11512" width="18" style="3" customWidth="1"/>
    <col min="11513" max="11513" width="11.44140625" style="3" customWidth="1"/>
    <col min="11514" max="11519" width="11.77734375" style="3" customWidth="1"/>
    <col min="11520" max="11520" width="7.21875" style="3" hidden="1" customWidth="1"/>
    <col min="11521" max="11522" width="11.77734375" style="3" customWidth="1"/>
    <col min="11523" max="11523" width="7.21875" style="3" customWidth="1"/>
    <col min="11524" max="11524" width="13.44140625" style="3" customWidth="1"/>
    <col min="11525" max="11525" width="3" style="3" customWidth="1"/>
    <col min="11526" max="11765" width="7.21875" style="3"/>
    <col min="11766" max="11766" width="2.44140625" style="3" customWidth="1"/>
    <col min="11767" max="11767" width="10" style="3" customWidth="1"/>
    <col min="11768" max="11768" width="18" style="3" customWidth="1"/>
    <col min="11769" max="11769" width="11.44140625" style="3" customWidth="1"/>
    <col min="11770" max="11775" width="11.77734375" style="3" customWidth="1"/>
    <col min="11776" max="11776" width="7.21875" style="3" hidden="1" customWidth="1"/>
    <col min="11777" max="11778" width="11.77734375" style="3" customWidth="1"/>
    <col min="11779" max="11779" width="7.21875" style="3" customWidth="1"/>
    <col min="11780" max="11780" width="13.44140625" style="3" customWidth="1"/>
    <col min="11781" max="11781" width="3" style="3" customWidth="1"/>
    <col min="11782" max="12021" width="7.21875" style="3"/>
    <col min="12022" max="12022" width="2.44140625" style="3" customWidth="1"/>
    <col min="12023" max="12023" width="10" style="3" customWidth="1"/>
    <col min="12024" max="12024" width="18" style="3" customWidth="1"/>
    <col min="12025" max="12025" width="11.44140625" style="3" customWidth="1"/>
    <col min="12026" max="12031" width="11.77734375" style="3" customWidth="1"/>
    <col min="12032" max="12032" width="7.21875" style="3" hidden="1" customWidth="1"/>
    <col min="12033" max="12034" width="11.77734375" style="3" customWidth="1"/>
    <col min="12035" max="12035" width="7.21875" style="3" customWidth="1"/>
    <col min="12036" max="12036" width="13.44140625" style="3" customWidth="1"/>
    <col min="12037" max="12037" width="3" style="3" customWidth="1"/>
    <col min="12038" max="12277" width="7.21875" style="3"/>
    <col min="12278" max="12278" width="2.44140625" style="3" customWidth="1"/>
    <col min="12279" max="12279" width="10" style="3" customWidth="1"/>
    <col min="12280" max="12280" width="18" style="3" customWidth="1"/>
    <col min="12281" max="12281" width="11.44140625" style="3" customWidth="1"/>
    <col min="12282" max="12287" width="11.77734375" style="3" customWidth="1"/>
    <col min="12288" max="12288" width="7.21875" style="3" hidden="1" customWidth="1"/>
    <col min="12289" max="12290" width="11.77734375" style="3" customWidth="1"/>
    <col min="12291" max="12291" width="7.21875" style="3" customWidth="1"/>
    <col min="12292" max="12292" width="13.44140625" style="3" customWidth="1"/>
    <col min="12293" max="12293" width="3" style="3" customWidth="1"/>
    <col min="12294" max="12533" width="7.21875" style="3"/>
    <col min="12534" max="12534" width="2.44140625" style="3" customWidth="1"/>
    <col min="12535" max="12535" width="10" style="3" customWidth="1"/>
    <col min="12536" max="12536" width="18" style="3" customWidth="1"/>
    <col min="12537" max="12537" width="11.44140625" style="3" customWidth="1"/>
    <col min="12538" max="12543" width="11.77734375" style="3" customWidth="1"/>
    <col min="12544" max="12544" width="7.21875" style="3" hidden="1" customWidth="1"/>
    <col min="12545" max="12546" width="11.77734375" style="3" customWidth="1"/>
    <col min="12547" max="12547" width="7.21875" style="3" customWidth="1"/>
    <col min="12548" max="12548" width="13.44140625" style="3" customWidth="1"/>
    <col min="12549" max="12549" width="3" style="3" customWidth="1"/>
    <col min="12550" max="12789" width="7.21875" style="3"/>
    <col min="12790" max="12790" width="2.44140625" style="3" customWidth="1"/>
    <col min="12791" max="12791" width="10" style="3" customWidth="1"/>
    <col min="12792" max="12792" width="18" style="3" customWidth="1"/>
    <col min="12793" max="12793" width="11.44140625" style="3" customWidth="1"/>
    <col min="12794" max="12799" width="11.77734375" style="3" customWidth="1"/>
    <col min="12800" max="12800" width="7.21875" style="3" hidden="1" customWidth="1"/>
    <col min="12801" max="12802" width="11.77734375" style="3" customWidth="1"/>
    <col min="12803" max="12803" width="7.21875" style="3" customWidth="1"/>
    <col min="12804" max="12804" width="13.44140625" style="3" customWidth="1"/>
    <col min="12805" max="12805" width="3" style="3" customWidth="1"/>
    <col min="12806" max="13045" width="7.21875" style="3"/>
    <col min="13046" max="13046" width="2.44140625" style="3" customWidth="1"/>
    <col min="13047" max="13047" width="10" style="3" customWidth="1"/>
    <col min="13048" max="13048" width="18" style="3" customWidth="1"/>
    <col min="13049" max="13049" width="11.44140625" style="3" customWidth="1"/>
    <col min="13050" max="13055" width="11.77734375" style="3" customWidth="1"/>
    <col min="13056" max="13056" width="7.21875" style="3" hidden="1" customWidth="1"/>
    <col min="13057" max="13058" width="11.77734375" style="3" customWidth="1"/>
    <col min="13059" max="13059" width="7.21875" style="3" customWidth="1"/>
    <col min="13060" max="13060" width="13.44140625" style="3" customWidth="1"/>
    <col min="13061" max="13061" width="3" style="3" customWidth="1"/>
    <col min="13062" max="13301" width="7.21875" style="3"/>
    <col min="13302" max="13302" width="2.44140625" style="3" customWidth="1"/>
    <col min="13303" max="13303" width="10" style="3" customWidth="1"/>
    <col min="13304" max="13304" width="18" style="3" customWidth="1"/>
    <col min="13305" max="13305" width="11.44140625" style="3" customWidth="1"/>
    <col min="13306" max="13311" width="11.77734375" style="3" customWidth="1"/>
    <col min="13312" max="13312" width="7.21875" style="3" hidden="1" customWidth="1"/>
    <col min="13313" max="13314" width="11.77734375" style="3" customWidth="1"/>
    <col min="13315" max="13315" width="7.21875" style="3" customWidth="1"/>
    <col min="13316" max="13316" width="13.44140625" style="3" customWidth="1"/>
    <col min="13317" max="13317" width="3" style="3" customWidth="1"/>
    <col min="13318" max="13557" width="7.21875" style="3"/>
    <col min="13558" max="13558" width="2.44140625" style="3" customWidth="1"/>
    <col min="13559" max="13559" width="10" style="3" customWidth="1"/>
    <col min="13560" max="13560" width="18" style="3" customWidth="1"/>
    <col min="13561" max="13561" width="11.44140625" style="3" customWidth="1"/>
    <col min="13562" max="13567" width="11.77734375" style="3" customWidth="1"/>
    <col min="13568" max="13568" width="7.21875" style="3" hidden="1" customWidth="1"/>
    <col min="13569" max="13570" width="11.77734375" style="3" customWidth="1"/>
    <col min="13571" max="13571" width="7.21875" style="3" customWidth="1"/>
    <col min="13572" max="13572" width="13.44140625" style="3" customWidth="1"/>
    <col min="13573" max="13573" width="3" style="3" customWidth="1"/>
    <col min="13574" max="13813" width="7.21875" style="3"/>
    <col min="13814" max="13814" width="2.44140625" style="3" customWidth="1"/>
    <col min="13815" max="13815" width="10" style="3" customWidth="1"/>
    <col min="13816" max="13816" width="18" style="3" customWidth="1"/>
    <col min="13817" max="13817" width="11.44140625" style="3" customWidth="1"/>
    <col min="13818" max="13823" width="11.77734375" style="3" customWidth="1"/>
    <col min="13824" max="13824" width="7.21875" style="3" hidden="1" customWidth="1"/>
    <col min="13825" max="13826" width="11.77734375" style="3" customWidth="1"/>
    <col min="13827" max="13827" width="7.21875" style="3" customWidth="1"/>
    <col min="13828" max="13828" width="13.44140625" style="3" customWidth="1"/>
    <col min="13829" max="13829" width="3" style="3" customWidth="1"/>
    <col min="13830" max="14069" width="7.21875" style="3"/>
    <col min="14070" max="14070" width="2.44140625" style="3" customWidth="1"/>
    <col min="14071" max="14071" width="10" style="3" customWidth="1"/>
    <col min="14072" max="14072" width="18" style="3" customWidth="1"/>
    <col min="14073" max="14073" width="11.44140625" style="3" customWidth="1"/>
    <col min="14074" max="14079" width="11.77734375" style="3" customWidth="1"/>
    <col min="14080" max="14080" width="7.21875" style="3" hidden="1" customWidth="1"/>
    <col min="14081" max="14082" width="11.77734375" style="3" customWidth="1"/>
    <col min="14083" max="14083" width="7.21875" style="3" customWidth="1"/>
    <col min="14084" max="14084" width="13.44140625" style="3" customWidth="1"/>
    <col min="14085" max="14085" width="3" style="3" customWidth="1"/>
    <col min="14086" max="14325" width="7.21875" style="3"/>
    <col min="14326" max="14326" width="2.44140625" style="3" customWidth="1"/>
    <col min="14327" max="14327" width="10" style="3" customWidth="1"/>
    <col min="14328" max="14328" width="18" style="3" customWidth="1"/>
    <col min="14329" max="14329" width="11.44140625" style="3" customWidth="1"/>
    <col min="14330" max="14335" width="11.77734375" style="3" customWidth="1"/>
    <col min="14336" max="14336" width="7.21875" style="3" hidden="1" customWidth="1"/>
    <col min="14337" max="14338" width="11.77734375" style="3" customWidth="1"/>
    <col min="14339" max="14339" width="7.21875" style="3" customWidth="1"/>
    <col min="14340" max="14340" width="13.44140625" style="3" customWidth="1"/>
    <col min="14341" max="14341" width="3" style="3" customWidth="1"/>
    <col min="14342" max="14581" width="7.21875" style="3"/>
    <col min="14582" max="14582" width="2.44140625" style="3" customWidth="1"/>
    <col min="14583" max="14583" width="10" style="3" customWidth="1"/>
    <col min="14584" max="14584" width="18" style="3" customWidth="1"/>
    <col min="14585" max="14585" width="11.44140625" style="3" customWidth="1"/>
    <col min="14586" max="14591" width="11.77734375" style="3" customWidth="1"/>
    <col min="14592" max="14592" width="7.21875" style="3" hidden="1" customWidth="1"/>
    <col min="14593" max="14594" width="11.77734375" style="3" customWidth="1"/>
    <col min="14595" max="14595" width="7.21875" style="3" customWidth="1"/>
    <col min="14596" max="14596" width="13.44140625" style="3" customWidth="1"/>
    <col min="14597" max="14597" width="3" style="3" customWidth="1"/>
    <col min="14598" max="14837" width="7.21875" style="3"/>
    <col min="14838" max="14838" width="2.44140625" style="3" customWidth="1"/>
    <col min="14839" max="14839" width="10" style="3" customWidth="1"/>
    <col min="14840" max="14840" width="18" style="3" customWidth="1"/>
    <col min="14841" max="14841" width="11.44140625" style="3" customWidth="1"/>
    <col min="14842" max="14847" width="11.77734375" style="3" customWidth="1"/>
    <col min="14848" max="14848" width="7.21875" style="3" hidden="1" customWidth="1"/>
    <col min="14849" max="14850" width="11.77734375" style="3" customWidth="1"/>
    <col min="14851" max="14851" width="7.21875" style="3" customWidth="1"/>
    <col min="14852" max="14852" width="13.44140625" style="3" customWidth="1"/>
    <col min="14853" max="14853" width="3" style="3" customWidth="1"/>
    <col min="14854" max="15093" width="7.21875" style="3"/>
    <col min="15094" max="15094" width="2.44140625" style="3" customWidth="1"/>
    <col min="15095" max="15095" width="10" style="3" customWidth="1"/>
    <col min="15096" max="15096" width="18" style="3" customWidth="1"/>
    <col min="15097" max="15097" width="11.44140625" style="3" customWidth="1"/>
    <col min="15098" max="15103" width="11.77734375" style="3" customWidth="1"/>
    <col min="15104" max="15104" width="7.21875" style="3" hidden="1" customWidth="1"/>
    <col min="15105" max="15106" width="11.77734375" style="3" customWidth="1"/>
    <col min="15107" max="15107" width="7.21875" style="3" customWidth="1"/>
    <col min="15108" max="15108" width="13.44140625" style="3" customWidth="1"/>
    <col min="15109" max="15109" width="3" style="3" customWidth="1"/>
    <col min="15110" max="15349" width="7.21875" style="3"/>
    <col min="15350" max="15350" width="2.44140625" style="3" customWidth="1"/>
    <col min="15351" max="15351" width="10" style="3" customWidth="1"/>
    <col min="15352" max="15352" width="18" style="3" customWidth="1"/>
    <col min="15353" max="15353" width="11.44140625" style="3" customWidth="1"/>
    <col min="15354" max="15359" width="11.77734375" style="3" customWidth="1"/>
    <col min="15360" max="15360" width="7.21875" style="3" hidden="1" customWidth="1"/>
    <col min="15361" max="15362" width="11.77734375" style="3" customWidth="1"/>
    <col min="15363" max="15363" width="7.21875" style="3" customWidth="1"/>
    <col min="15364" max="15364" width="13.44140625" style="3" customWidth="1"/>
    <col min="15365" max="15365" width="3" style="3" customWidth="1"/>
    <col min="15366" max="15605" width="7.21875" style="3"/>
    <col min="15606" max="15606" width="2.44140625" style="3" customWidth="1"/>
    <col min="15607" max="15607" width="10" style="3" customWidth="1"/>
    <col min="15608" max="15608" width="18" style="3" customWidth="1"/>
    <col min="15609" max="15609" width="11.44140625" style="3" customWidth="1"/>
    <col min="15610" max="15615" width="11.77734375" style="3" customWidth="1"/>
    <col min="15616" max="15616" width="7.21875" style="3" hidden="1" customWidth="1"/>
    <col min="15617" max="15618" width="11.77734375" style="3" customWidth="1"/>
    <col min="15619" max="15619" width="7.21875" style="3" customWidth="1"/>
    <col min="15620" max="15620" width="13.44140625" style="3" customWidth="1"/>
    <col min="15621" max="15621" width="3" style="3" customWidth="1"/>
    <col min="15622" max="15861" width="7.21875" style="3"/>
    <col min="15862" max="15862" width="2.44140625" style="3" customWidth="1"/>
    <col min="15863" max="15863" width="10" style="3" customWidth="1"/>
    <col min="15864" max="15864" width="18" style="3" customWidth="1"/>
    <col min="15865" max="15865" width="11.44140625" style="3" customWidth="1"/>
    <col min="15866" max="15871" width="11.77734375" style="3" customWidth="1"/>
    <col min="15872" max="15872" width="7.21875" style="3" hidden="1" customWidth="1"/>
    <col min="15873" max="15874" width="11.77734375" style="3" customWidth="1"/>
    <col min="15875" max="15875" width="7.21875" style="3" customWidth="1"/>
    <col min="15876" max="15876" width="13.44140625" style="3" customWidth="1"/>
    <col min="15877" max="15877" width="3" style="3" customWidth="1"/>
    <col min="15878" max="16117" width="7.21875" style="3"/>
    <col min="16118" max="16118" width="2.44140625" style="3" customWidth="1"/>
    <col min="16119" max="16119" width="10" style="3" customWidth="1"/>
    <col min="16120" max="16120" width="18" style="3" customWidth="1"/>
    <col min="16121" max="16121" width="11.44140625" style="3" customWidth="1"/>
    <col min="16122" max="16127" width="11.77734375" style="3" customWidth="1"/>
    <col min="16128" max="16128" width="7.21875" style="3" hidden="1" customWidth="1"/>
    <col min="16129" max="16130" width="11.77734375" style="3" customWidth="1"/>
    <col min="16131" max="16131" width="7.21875" style="3" customWidth="1"/>
    <col min="16132" max="16132" width="13.44140625" style="3" customWidth="1"/>
    <col min="16133" max="16133" width="3" style="3" customWidth="1"/>
    <col min="16134" max="16384" width="7.21875" style="3"/>
  </cols>
  <sheetData>
    <row r="1" spans="1:27" ht="14.4" thickTop="1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88"/>
    </row>
    <row r="2" spans="1:27" s="1" customFormat="1" ht="21">
      <c r="A2" s="6"/>
      <c r="B2" s="108" t="s">
        <v>42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89"/>
      <c r="AA2" s="90"/>
    </row>
    <row r="3" spans="1:27" s="2" customFormat="1" ht="14.25" customHeight="1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48"/>
      <c r="Y3" s="48"/>
      <c r="Z3" s="48"/>
      <c r="AA3" s="91"/>
    </row>
    <row r="4" spans="1:27" s="2" customFormat="1" ht="14.4">
      <c r="A4" s="7"/>
      <c r="B4" s="8" t="s">
        <v>0</v>
      </c>
      <c r="C4" s="9"/>
      <c r="D4" s="10" t="s">
        <v>1</v>
      </c>
      <c r="E4" s="95">
        <v>44650</v>
      </c>
      <c r="F4" s="11" t="s">
        <v>43</v>
      </c>
      <c r="G4" s="11"/>
      <c r="H4" s="11"/>
      <c r="I4" s="11"/>
      <c r="J4" s="11"/>
      <c r="K4" s="11"/>
      <c r="L4" s="11"/>
      <c r="M4" s="11"/>
      <c r="N4" s="11"/>
      <c r="O4" s="11"/>
      <c r="P4" s="9"/>
      <c r="Q4" s="9"/>
      <c r="R4" s="9"/>
      <c r="S4" s="9"/>
      <c r="T4" s="9"/>
      <c r="U4" s="9"/>
      <c r="V4" s="11"/>
      <c r="W4" s="11"/>
      <c r="X4" s="48"/>
      <c r="Y4" s="48"/>
      <c r="Z4" s="48"/>
      <c r="AA4" s="91"/>
    </row>
    <row r="5" spans="1:27" s="2" customFormat="1" ht="14.4">
      <c r="A5" s="7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48"/>
      <c r="Y5" s="48"/>
      <c r="Z5" s="48"/>
      <c r="AA5" s="91"/>
    </row>
    <row r="6" spans="1:27" s="2" customFormat="1" ht="14.4">
      <c r="A6" s="7"/>
      <c r="B6" s="8" t="s">
        <v>2</v>
      </c>
      <c r="C6" s="9"/>
      <c r="D6" s="10" t="s">
        <v>1</v>
      </c>
      <c r="E6" s="95">
        <f>E4+1</f>
        <v>44651</v>
      </c>
      <c r="F6" s="11" t="s">
        <v>44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9"/>
      <c r="S6" s="9"/>
      <c r="T6" s="9"/>
      <c r="U6" s="9"/>
      <c r="V6" s="11"/>
      <c r="W6" s="11"/>
      <c r="X6" s="48"/>
      <c r="Y6" s="48"/>
      <c r="Z6" s="48"/>
      <c r="AA6" s="91"/>
    </row>
    <row r="7" spans="1:27" s="2" customFormat="1" ht="14.4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48"/>
      <c r="Y7" s="48"/>
      <c r="Z7" s="48"/>
      <c r="AA7" s="91"/>
    </row>
    <row r="8" spans="1:27" s="2" customFormat="1" ht="14.4">
      <c r="A8" s="7"/>
      <c r="B8" s="8" t="s">
        <v>3</v>
      </c>
      <c r="C8" s="9"/>
      <c r="D8" s="10" t="s">
        <v>1</v>
      </c>
      <c r="E8" s="11" t="s">
        <v>47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48"/>
      <c r="Q8" s="48"/>
      <c r="R8" s="9"/>
      <c r="S8" s="9"/>
      <c r="T8" s="9"/>
      <c r="U8" s="9"/>
      <c r="V8" s="11"/>
      <c r="W8" s="11"/>
      <c r="X8" s="48"/>
      <c r="Y8" s="48"/>
      <c r="Z8" s="48"/>
      <c r="AA8" s="91"/>
    </row>
    <row r="9" spans="1:27" s="2" customFormat="1" ht="14.4">
      <c r="A9" s="7"/>
      <c r="B9" s="8"/>
      <c r="C9" s="9"/>
      <c r="D9" s="1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48"/>
      <c r="Q9" s="48"/>
      <c r="R9" s="9"/>
      <c r="S9" s="9"/>
      <c r="T9" s="9"/>
      <c r="U9" s="9"/>
      <c r="V9" s="11"/>
      <c r="W9" s="11"/>
      <c r="X9" s="48"/>
      <c r="Y9" s="48"/>
      <c r="Z9" s="48"/>
      <c r="AA9" s="91"/>
    </row>
    <row r="10" spans="1:27" s="2" customFormat="1" ht="15" customHeight="1">
      <c r="A10" s="7"/>
      <c r="B10" s="12" t="s">
        <v>4</v>
      </c>
      <c r="C10" s="13"/>
      <c r="D10" s="14" t="s">
        <v>1</v>
      </c>
      <c r="E10" s="111" t="s">
        <v>47</v>
      </c>
      <c r="F10" s="111"/>
      <c r="G10" s="111"/>
      <c r="H10" s="111"/>
      <c r="I10" s="111"/>
      <c r="J10" s="111"/>
      <c r="K10" s="20"/>
      <c r="L10" s="20"/>
      <c r="M10" s="20"/>
      <c r="N10" s="13"/>
      <c r="O10" s="13"/>
      <c r="P10" s="26"/>
      <c r="Q10" s="26"/>
      <c r="R10" s="26"/>
      <c r="S10" s="26"/>
      <c r="T10" s="14"/>
      <c r="U10" s="14"/>
      <c r="V10" s="48"/>
      <c r="W10" s="48"/>
      <c r="X10" s="48"/>
      <c r="Y10" s="91"/>
    </row>
    <row r="11" spans="1:27" s="2" customFormat="1" ht="14.55" customHeight="1">
      <c r="A11" s="15"/>
      <c r="B11" s="12"/>
      <c r="C11" s="13"/>
      <c r="D11" s="14"/>
      <c r="E11" s="111" t="s">
        <v>45</v>
      </c>
      <c r="F11" s="111"/>
      <c r="G11" s="111"/>
      <c r="H11" s="111"/>
      <c r="I11" s="111"/>
      <c r="J11" s="133" t="s">
        <v>5</v>
      </c>
      <c r="K11" s="49"/>
      <c r="L11" s="49"/>
      <c r="N11" s="13"/>
      <c r="O11" s="13"/>
      <c r="P11" s="13"/>
      <c r="Q11" s="13"/>
      <c r="R11" s="13"/>
      <c r="S11" s="13"/>
      <c r="T11" s="49"/>
      <c r="U11" s="49"/>
      <c r="V11" s="68"/>
      <c r="W11" s="68"/>
      <c r="X11" s="68"/>
      <c r="Y11" s="91"/>
    </row>
    <row r="12" spans="1:27" s="2" customFormat="1" ht="14.55" customHeight="1">
      <c r="A12" s="16"/>
      <c r="B12" s="12"/>
      <c r="C12" s="13"/>
      <c r="D12" s="17"/>
      <c r="E12" s="97" t="s">
        <v>46</v>
      </c>
      <c r="F12" s="98" t="s">
        <v>51</v>
      </c>
      <c r="G12" s="98" t="s">
        <v>49</v>
      </c>
      <c r="H12" s="98" t="s">
        <v>48</v>
      </c>
      <c r="I12" s="98" t="s">
        <v>50</v>
      </c>
      <c r="J12" s="133"/>
      <c r="K12" s="17"/>
      <c r="L12" s="17"/>
      <c r="N12" s="13"/>
      <c r="O12" s="13"/>
      <c r="P12" s="13"/>
      <c r="Q12" s="13"/>
      <c r="R12" s="13"/>
      <c r="S12" s="13"/>
      <c r="T12" s="49"/>
      <c r="U12" s="49"/>
      <c r="V12" s="68"/>
      <c r="W12" s="68"/>
      <c r="X12" s="68"/>
      <c r="Y12" s="91"/>
    </row>
    <row r="13" spans="1:27" s="2" customFormat="1" ht="20.25" customHeight="1">
      <c r="A13" s="7"/>
      <c r="B13" s="18" t="s">
        <v>7</v>
      </c>
      <c r="C13" s="13"/>
      <c r="D13" s="14" t="s">
        <v>1</v>
      </c>
      <c r="E13" s="99">
        <v>35.200000000000003</v>
      </c>
      <c r="F13" s="100">
        <v>38.72</v>
      </c>
      <c r="G13" s="100">
        <v>3</v>
      </c>
      <c r="H13" s="100">
        <v>1</v>
      </c>
      <c r="I13" s="100">
        <v>0</v>
      </c>
      <c r="J13" s="101">
        <f>F13+G13+H13+I13</f>
        <v>42.72</v>
      </c>
      <c r="K13" s="50"/>
      <c r="L13" s="50"/>
      <c r="N13" s="51"/>
      <c r="O13" s="51"/>
      <c r="P13" s="51"/>
      <c r="Q13" s="51"/>
      <c r="R13" s="51"/>
      <c r="S13" s="13"/>
      <c r="T13" s="69"/>
      <c r="U13" s="69"/>
      <c r="V13" s="68"/>
      <c r="W13" s="68"/>
      <c r="X13" s="68"/>
      <c r="Y13" s="91"/>
    </row>
    <row r="14" spans="1:27" s="2" customFormat="1" ht="14.4">
      <c r="A14" s="7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52"/>
      <c r="N14" s="52"/>
      <c r="O14" s="52"/>
      <c r="P14" s="42"/>
      <c r="Q14" s="42"/>
      <c r="R14" s="9"/>
      <c r="S14" s="9"/>
      <c r="T14" s="9"/>
      <c r="U14" s="9"/>
      <c r="V14" s="9"/>
      <c r="W14" s="9"/>
      <c r="X14" s="48"/>
      <c r="Y14" s="48"/>
      <c r="Z14" s="48"/>
      <c r="AA14" s="91"/>
    </row>
    <row r="15" spans="1:27" s="2" customFormat="1" ht="20.25" customHeight="1">
      <c r="A15" s="7"/>
      <c r="B15" s="18"/>
      <c r="C15" s="20"/>
      <c r="D15" s="21"/>
      <c r="E15" s="13"/>
      <c r="F15" s="13"/>
      <c r="G15" s="22"/>
      <c r="H15" s="22"/>
      <c r="I15" s="22"/>
      <c r="J15" s="53"/>
      <c r="K15" s="53"/>
      <c r="L15" s="54"/>
      <c r="M15" s="13"/>
      <c r="N15" s="13"/>
      <c r="O15" s="13"/>
      <c r="P15" s="13"/>
      <c r="Q15" s="13"/>
      <c r="R15" s="13"/>
      <c r="S15" s="13"/>
      <c r="T15" s="13"/>
      <c r="U15" s="13"/>
      <c r="V15" s="54"/>
      <c r="W15" s="54"/>
      <c r="X15" s="68"/>
      <c r="Y15" s="68"/>
      <c r="Z15" s="68"/>
      <c r="AA15" s="91"/>
    </row>
    <row r="16" spans="1:27" s="2" customFormat="1" ht="20.25" customHeight="1">
      <c r="A16" s="7"/>
      <c r="B16" s="12"/>
      <c r="C16" s="13"/>
      <c r="D16" s="21"/>
      <c r="E16" s="13"/>
      <c r="F16" s="13"/>
      <c r="G16" s="23"/>
      <c r="H16" s="23"/>
      <c r="I16" s="23"/>
      <c r="J16" s="54"/>
      <c r="K16" s="54"/>
      <c r="L16" s="54"/>
      <c r="M16" s="21"/>
      <c r="N16" s="21"/>
      <c r="O16" s="21"/>
      <c r="P16" s="13"/>
      <c r="Q16" s="13"/>
      <c r="R16" s="13"/>
      <c r="S16" s="13"/>
      <c r="T16" s="13"/>
      <c r="U16" s="13" t="s">
        <v>8</v>
      </c>
      <c r="V16" s="54"/>
      <c r="W16" s="54"/>
      <c r="X16" s="68"/>
      <c r="Y16" s="68"/>
      <c r="Z16" s="68"/>
      <c r="AA16" s="91"/>
    </row>
    <row r="17" spans="1:27" s="2" customFormat="1" ht="20.25" customHeight="1">
      <c r="A17" s="7"/>
      <c r="B17" s="18" t="s">
        <v>9</v>
      </c>
      <c r="C17" s="13"/>
      <c r="D17" s="24" t="s">
        <v>1</v>
      </c>
      <c r="E17" s="25" t="s">
        <v>10</v>
      </c>
      <c r="F17" s="109">
        <f>E6</f>
        <v>44651</v>
      </c>
      <c r="G17" s="110"/>
      <c r="H17" s="109">
        <f>F17+1</f>
        <v>44652</v>
      </c>
      <c r="I17" s="110"/>
      <c r="J17" s="109">
        <f>H17+1</f>
        <v>44653</v>
      </c>
      <c r="K17" s="110"/>
      <c r="L17" s="109">
        <f>J17+1</f>
        <v>44654</v>
      </c>
      <c r="M17" s="110"/>
      <c r="N17" s="109">
        <f>L17+1</f>
        <v>44655</v>
      </c>
      <c r="O17" s="110"/>
      <c r="P17" s="109">
        <f>N17+1</f>
        <v>44656</v>
      </c>
      <c r="Q17" s="110"/>
      <c r="R17" s="109">
        <f>P17+1</f>
        <v>44657</v>
      </c>
      <c r="S17" s="110"/>
      <c r="T17" s="70"/>
      <c r="U17" s="71"/>
      <c r="V17" s="71"/>
      <c r="W17" s="71"/>
      <c r="X17" s="71"/>
      <c r="Y17" s="71"/>
      <c r="Z17" s="71"/>
      <c r="AA17" s="91"/>
    </row>
    <row r="18" spans="1:27" s="2" customFormat="1" ht="20.25" customHeight="1">
      <c r="A18" s="7"/>
      <c r="B18" s="26"/>
      <c r="C18" s="13"/>
      <c r="D18" s="13"/>
      <c r="E18" s="124"/>
      <c r="F18" s="131" t="s">
        <v>11</v>
      </c>
      <c r="G18" s="132"/>
      <c r="H18" s="131" t="s">
        <v>11</v>
      </c>
      <c r="I18" s="132"/>
      <c r="J18" s="131" t="s">
        <v>11</v>
      </c>
      <c r="K18" s="132"/>
      <c r="L18" s="131" t="s">
        <v>11</v>
      </c>
      <c r="M18" s="132"/>
      <c r="N18" s="131" t="s">
        <v>11</v>
      </c>
      <c r="O18" s="132"/>
      <c r="P18" s="131" t="s">
        <v>11</v>
      </c>
      <c r="Q18" s="132"/>
      <c r="R18" s="131" t="s">
        <v>11</v>
      </c>
      <c r="S18" s="132"/>
      <c r="T18" s="72"/>
      <c r="U18" s="73"/>
      <c r="V18" s="73"/>
      <c r="W18" s="73"/>
      <c r="X18" s="73"/>
      <c r="Y18" s="73"/>
      <c r="Z18" s="73"/>
      <c r="AA18" s="91"/>
    </row>
    <row r="19" spans="1:27" s="2" customFormat="1" ht="29.55" customHeight="1">
      <c r="A19" s="7"/>
      <c r="B19" s="26"/>
      <c r="C19" s="13"/>
      <c r="D19" s="13"/>
      <c r="E19" s="124"/>
      <c r="F19" s="27" t="s">
        <v>40</v>
      </c>
      <c r="G19" s="27" t="s">
        <v>6</v>
      </c>
      <c r="H19" s="27" t="s">
        <v>40</v>
      </c>
      <c r="I19" s="27" t="s">
        <v>6</v>
      </c>
      <c r="J19" s="27" t="s">
        <v>40</v>
      </c>
      <c r="K19" s="27" t="s">
        <v>6</v>
      </c>
      <c r="L19" s="27" t="s">
        <v>40</v>
      </c>
      <c r="M19" s="27" t="s">
        <v>6</v>
      </c>
      <c r="N19" s="27" t="s">
        <v>40</v>
      </c>
      <c r="O19" s="27" t="s">
        <v>6</v>
      </c>
      <c r="P19" s="27" t="s">
        <v>40</v>
      </c>
      <c r="Q19" s="27" t="s">
        <v>6</v>
      </c>
      <c r="R19" s="27" t="s">
        <v>40</v>
      </c>
      <c r="S19" s="27" t="s">
        <v>6</v>
      </c>
      <c r="T19" s="74"/>
      <c r="U19" s="75"/>
      <c r="V19" s="75"/>
      <c r="W19" s="75"/>
      <c r="X19" s="75"/>
      <c r="Y19" s="75"/>
      <c r="Z19" s="75"/>
      <c r="AA19" s="91"/>
    </row>
    <row r="20" spans="1:27" ht="28.5" customHeight="1">
      <c r="A20" s="7"/>
      <c r="B20" s="28"/>
      <c r="C20" s="28"/>
      <c r="D20" s="28"/>
      <c r="E20" s="29" t="s">
        <v>12</v>
      </c>
      <c r="F20" s="30">
        <v>35.200000000000003</v>
      </c>
      <c r="G20" s="96">
        <v>42.72</v>
      </c>
      <c r="H20" s="30"/>
      <c r="I20" s="30"/>
      <c r="J20" s="30"/>
      <c r="K20" s="30"/>
      <c r="L20" s="30"/>
      <c r="M20" s="31"/>
      <c r="N20" s="30"/>
      <c r="O20" s="31"/>
      <c r="P20" s="30"/>
      <c r="Q20" s="31"/>
      <c r="R20" s="30"/>
      <c r="S20" s="31"/>
      <c r="T20" s="76"/>
      <c r="U20" s="77"/>
      <c r="V20" s="78"/>
      <c r="W20" s="79"/>
      <c r="X20" s="77"/>
      <c r="Y20" s="78"/>
      <c r="Z20" s="79"/>
      <c r="AA20" s="92"/>
    </row>
    <row r="21" spans="1:27" ht="28.5" customHeight="1">
      <c r="A21" s="32"/>
      <c r="B21" s="28"/>
      <c r="C21" s="28"/>
      <c r="D21" s="28"/>
      <c r="E21" s="29" t="s">
        <v>13</v>
      </c>
      <c r="F21" s="30">
        <v>35.200000000000003</v>
      </c>
      <c r="G21" s="96">
        <v>42.72</v>
      </c>
      <c r="H21" s="30"/>
      <c r="I21" s="30"/>
      <c r="J21" s="30"/>
      <c r="K21" s="30"/>
      <c r="L21" s="30"/>
      <c r="M21" s="31"/>
      <c r="N21" s="30"/>
      <c r="O21" s="31"/>
      <c r="P21" s="30"/>
      <c r="Q21" s="31"/>
      <c r="R21" s="30"/>
      <c r="S21" s="31"/>
      <c r="T21" s="76"/>
      <c r="U21" s="77"/>
      <c r="V21" s="78"/>
      <c r="W21" s="79"/>
      <c r="X21" s="77"/>
      <c r="Y21" s="78"/>
      <c r="Z21" s="79"/>
      <c r="AA21" s="92"/>
    </row>
    <row r="22" spans="1:27" ht="28.5" customHeight="1">
      <c r="A22" s="32"/>
      <c r="B22" s="33"/>
      <c r="C22" s="33"/>
      <c r="D22" s="33"/>
      <c r="E22" s="29" t="s">
        <v>14</v>
      </c>
      <c r="F22" s="30">
        <v>35.200000000000003</v>
      </c>
      <c r="G22" s="96">
        <v>42.72</v>
      </c>
      <c r="H22" s="30"/>
      <c r="I22" s="30"/>
      <c r="J22" s="30"/>
      <c r="K22" s="30"/>
      <c r="L22" s="30"/>
      <c r="M22" s="31"/>
      <c r="N22" s="30"/>
      <c r="O22" s="31"/>
      <c r="P22" s="30"/>
      <c r="Q22" s="31"/>
      <c r="R22" s="30"/>
      <c r="S22" s="31"/>
      <c r="T22" s="76"/>
      <c r="U22" s="77"/>
      <c r="V22" s="78"/>
      <c r="W22" s="79"/>
      <c r="X22" s="77"/>
      <c r="Y22" s="78"/>
      <c r="Z22" s="79"/>
      <c r="AA22" s="92"/>
    </row>
    <row r="23" spans="1:27" ht="28.5" customHeight="1">
      <c r="A23" s="32"/>
      <c r="B23" s="28"/>
      <c r="C23" s="28"/>
      <c r="D23" s="28"/>
      <c r="E23" s="29" t="s">
        <v>15</v>
      </c>
      <c r="F23" s="30">
        <v>35.200000000000003</v>
      </c>
      <c r="G23" s="96">
        <v>42.72</v>
      </c>
      <c r="H23" s="30"/>
      <c r="I23" s="30"/>
      <c r="J23" s="30"/>
      <c r="K23" s="30"/>
      <c r="L23" s="30"/>
      <c r="M23" s="31"/>
      <c r="N23" s="30"/>
      <c r="O23" s="31"/>
      <c r="P23" s="30"/>
      <c r="Q23" s="31"/>
      <c r="R23" s="30"/>
      <c r="S23" s="31"/>
      <c r="T23" s="76"/>
      <c r="U23" s="77"/>
      <c r="V23" s="78"/>
      <c r="W23" s="79"/>
      <c r="X23" s="77"/>
      <c r="Y23" s="78"/>
      <c r="Z23" s="79"/>
      <c r="AA23" s="92"/>
    </row>
    <row r="24" spans="1:27" ht="28.5" customHeight="1">
      <c r="A24" s="32"/>
      <c r="B24" s="28"/>
      <c r="C24" s="28"/>
      <c r="D24" s="28"/>
      <c r="E24" s="29" t="s">
        <v>16</v>
      </c>
      <c r="F24" s="30">
        <v>35.200000000000003</v>
      </c>
      <c r="G24" s="96">
        <v>42.72</v>
      </c>
      <c r="H24" s="30"/>
      <c r="I24" s="30"/>
      <c r="J24" s="30"/>
      <c r="K24" s="30"/>
      <c r="L24" s="30"/>
      <c r="M24" s="31"/>
      <c r="N24" s="30"/>
      <c r="O24" s="31"/>
      <c r="P24" s="30"/>
      <c r="Q24" s="31"/>
      <c r="R24" s="30"/>
      <c r="S24" s="31"/>
      <c r="T24" s="76"/>
      <c r="U24" s="77"/>
      <c r="V24" s="78"/>
      <c r="W24" s="79"/>
      <c r="X24" s="77"/>
      <c r="Y24" s="78"/>
      <c r="Z24" s="79"/>
      <c r="AA24" s="92"/>
    </row>
    <row r="25" spans="1:27" ht="28.5" customHeight="1">
      <c r="A25" s="32"/>
      <c r="B25" s="33"/>
      <c r="C25" s="33"/>
      <c r="D25" s="33"/>
      <c r="E25" s="29" t="s">
        <v>17</v>
      </c>
      <c r="F25" s="30">
        <v>35.200000000000003</v>
      </c>
      <c r="G25" s="96">
        <v>42.72</v>
      </c>
      <c r="H25" s="30"/>
      <c r="I25" s="30"/>
      <c r="J25" s="30"/>
      <c r="K25" s="30"/>
      <c r="L25" s="30"/>
      <c r="M25" s="31"/>
      <c r="N25" s="30"/>
      <c r="O25" s="31"/>
      <c r="P25" s="30"/>
      <c r="Q25" s="31"/>
      <c r="R25" s="30"/>
      <c r="S25" s="31"/>
      <c r="T25" s="76"/>
      <c r="U25" s="77"/>
      <c r="V25" s="78"/>
      <c r="W25" s="79"/>
      <c r="X25" s="77"/>
      <c r="Y25" s="78"/>
      <c r="Z25" s="79"/>
      <c r="AA25" s="92"/>
    </row>
    <row r="26" spans="1:27" ht="28.5" customHeight="1">
      <c r="A26" s="32"/>
      <c r="B26" s="28"/>
      <c r="C26" s="28"/>
      <c r="D26" s="28"/>
      <c r="E26" s="29" t="s">
        <v>18</v>
      </c>
      <c r="F26" s="30">
        <v>35.200000000000003</v>
      </c>
      <c r="G26" s="96">
        <v>42.72</v>
      </c>
      <c r="H26" s="30"/>
      <c r="I26" s="30"/>
      <c r="J26" s="30"/>
      <c r="K26" s="30"/>
      <c r="L26" s="30"/>
      <c r="M26" s="31"/>
      <c r="N26" s="30"/>
      <c r="O26" s="31"/>
      <c r="P26" s="30"/>
      <c r="Q26" s="31"/>
      <c r="R26" s="30"/>
      <c r="S26" s="31"/>
      <c r="T26" s="76"/>
      <c r="U26" s="77"/>
      <c r="V26" s="78"/>
      <c r="W26" s="79"/>
      <c r="X26" s="77"/>
      <c r="Y26" s="78"/>
      <c r="Z26" s="79"/>
      <c r="AA26" s="92"/>
    </row>
    <row r="27" spans="1:27" ht="28.5" customHeight="1">
      <c r="A27" s="32"/>
      <c r="B27" s="28"/>
      <c r="C27" s="28"/>
      <c r="D27" s="28"/>
      <c r="E27" s="29" t="s">
        <v>19</v>
      </c>
      <c r="F27" s="30">
        <v>35.200000000000003</v>
      </c>
      <c r="G27" s="96">
        <v>42.72</v>
      </c>
      <c r="H27" s="30"/>
      <c r="I27" s="30"/>
      <c r="J27" s="30"/>
      <c r="K27" s="30"/>
      <c r="L27" s="30"/>
      <c r="M27" s="31"/>
      <c r="N27" s="30"/>
      <c r="O27" s="31"/>
      <c r="P27" s="30"/>
      <c r="Q27" s="31"/>
      <c r="R27" s="30"/>
      <c r="S27" s="31"/>
      <c r="T27" s="76"/>
      <c r="U27" s="77"/>
      <c r="V27" s="78"/>
      <c r="W27" s="79"/>
      <c r="X27" s="77"/>
      <c r="Y27" s="78"/>
      <c r="Z27" s="79"/>
      <c r="AA27" s="92"/>
    </row>
    <row r="28" spans="1:27" ht="28.5" customHeight="1">
      <c r="A28" s="32"/>
      <c r="B28" s="33"/>
      <c r="C28" s="33"/>
      <c r="D28" s="33"/>
      <c r="E28" s="29" t="s">
        <v>20</v>
      </c>
      <c r="F28" s="30">
        <v>35.200000000000003</v>
      </c>
      <c r="G28" s="96">
        <v>42.72</v>
      </c>
      <c r="H28" s="30"/>
      <c r="I28" s="30"/>
      <c r="J28" s="30"/>
      <c r="K28" s="30"/>
      <c r="L28" s="30"/>
      <c r="M28" s="31"/>
      <c r="N28" s="30"/>
      <c r="O28" s="31"/>
      <c r="P28" s="30"/>
      <c r="Q28" s="31"/>
      <c r="R28" s="30"/>
      <c r="S28" s="31"/>
      <c r="T28" s="76"/>
      <c r="U28" s="77"/>
      <c r="V28" s="78"/>
      <c r="W28" s="79"/>
      <c r="X28" s="77"/>
      <c r="Y28" s="78"/>
      <c r="Z28" s="79"/>
      <c r="AA28" s="92"/>
    </row>
    <row r="29" spans="1:27" ht="28.5" customHeight="1">
      <c r="A29" s="32"/>
      <c r="B29" s="28"/>
      <c r="C29" s="28"/>
      <c r="D29" s="28"/>
      <c r="E29" s="29" t="s">
        <v>21</v>
      </c>
      <c r="F29" s="30">
        <v>35.200000000000003</v>
      </c>
      <c r="G29" s="96">
        <v>42.72</v>
      </c>
      <c r="H29" s="30"/>
      <c r="I29" s="30"/>
      <c r="J29" s="30"/>
      <c r="K29" s="30"/>
      <c r="L29" s="30"/>
      <c r="M29" s="31"/>
      <c r="N29" s="30"/>
      <c r="O29" s="31"/>
      <c r="P29" s="30"/>
      <c r="Q29" s="31"/>
      <c r="R29" s="30"/>
      <c r="S29" s="31"/>
      <c r="T29" s="76"/>
      <c r="U29" s="77"/>
      <c r="V29" s="78"/>
      <c r="W29" s="79"/>
      <c r="X29" s="77"/>
      <c r="Y29" s="78"/>
      <c r="Z29" s="79"/>
      <c r="AA29" s="92"/>
    </row>
    <row r="30" spans="1:27" ht="28.5" customHeight="1">
      <c r="A30" s="32"/>
      <c r="B30" s="33"/>
      <c r="C30" s="33"/>
      <c r="D30" s="33"/>
      <c r="E30" s="29" t="s">
        <v>22</v>
      </c>
      <c r="F30" s="30">
        <v>35.200000000000003</v>
      </c>
      <c r="G30" s="96">
        <v>42.72</v>
      </c>
      <c r="H30" s="30"/>
      <c r="I30" s="30"/>
      <c r="J30" s="30"/>
      <c r="K30" s="30"/>
      <c r="L30" s="30"/>
      <c r="M30" s="31"/>
      <c r="N30" s="30"/>
      <c r="O30" s="31"/>
      <c r="P30" s="30"/>
      <c r="Q30" s="31"/>
      <c r="R30" s="30"/>
      <c r="S30" s="31"/>
      <c r="T30" s="76"/>
      <c r="U30" s="77"/>
      <c r="V30" s="78"/>
      <c r="W30" s="79"/>
      <c r="X30" s="77"/>
      <c r="Y30" s="78"/>
      <c r="Z30" s="79"/>
      <c r="AA30" s="92"/>
    </row>
    <row r="31" spans="1:27" ht="28.5" customHeight="1">
      <c r="A31" s="32"/>
      <c r="B31" s="33"/>
      <c r="C31" s="34"/>
      <c r="D31" s="34"/>
      <c r="E31" s="29" t="s">
        <v>23</v>
      </c>
      <c r="F31" s="30">
        <v>35.200000000000003</v>
      </c>
      <c r="G31" s="96">
        <v>42.72</v>
      </c>
      <c r="H31" s="30"/>
      <c r="I31" s="30"/>
      <c r="J31" s="30"/>
      <c r="K31" s="30"/>
      <c r="L31" s="30"/>
      <c r="M31" s="31"/>
      <c r="N31" s="30"/>
      <c r="O31" s="31"/>
      <c r="P31" s="30"/>
      <c r="Q31" s="31"/>
      <c r="R31" s="30"/>
      <c r="S31" s="31"/>
      <c r="T31" s="76"/>
      <c r="U31" s="77"/>
      <c r="V31" s="78"/>
      <c r="W31" s="79"/>
      <c r="X31" s="77"/>
      <c r="Y31" s="78"/>
      <c r="Z31" s="79"/>
      <c r="AA31" s="92"/>
    </row>
    <row r="32" spans="1:27" ht="28.5" customHeight="1">
      <c r="A32" s="32"/>
      <c r="B32" s="35"/>
      <c r="C32" s="36"/>
      <c r="D32" s="36"/>
      <c r="E32" s="29" t="s">
        <v>24</v>
      </c>
      <c r="F32" s="30">
        <v>35.200000000000003</v>
      </c>
      <c r="G32" s="96">
        <v>42.72</v>
      </c>
      <c r="H32" s="30"/>
      <c r="I32" s="30"/>
      <c r="J32" s="30"/>
      <c r="K32" s="30"/>
      <c r="L32" s="30"/>
      <c r="M32" s="31"/>
      <c r="N32" s="30"/>
      <c r="O32" s="31"/>
      <c r="P32" s="30"/>
      <c r="Q32" s="31"/>
      <c r="R32" s="30"/>
      <c r="S32" s="31"/>
      <c r="T32" s="76"/>
      <c r="U32" s="77"/>
      <c r="V32" s="78"/>
      <c r="W32" s="79"/>
      <c r="X32" s="77"/>
      <c r="Y32" s="78"/>
      <c r="Z32" s="79"/>
      <c r="AA32" s="92"/>
    </row>
    <row r="33" spans="1:27" ht="28.5" customHeight="1">
      <c r="A33" s="32"/>
      <c r="B33" s="37"/>
      <c r="C33" s="38"/>
      <c r="D33" s="38"/>
      <c r="E33" s="29" t="s">
        <v>25</v>
      </c>
      <c r="F33" s="30">
        <v>35.200000000000003</v>
      </c>
      <c r="G33" s="96">
        <v>42.72</v>
      </c>
      <c r="H33" s="30"/>
      <c r="I33" s="30"/>
      <c r="J33" s="30"/>
      <c r="K33" s="30"/>
      <c r="L33" s="30"/>
      <c r="M33" s="31"/>
      <c r="N33" s="30"/>
      <c r="O33" s="31"/>
      <c r="P33" s="30"/>
      <c r="Q33" s="31"/>
      <c r="R33" s="30"/>
      <c r="S33" s="31"/>
      <c r="T33" s="76"/>
      <c r="U33" s="77"/>
      <c r="V33" s="78"/>
      <c r="W33" s="79"/>
      <c r="X33" s="77"/>
      <c r="Y33" s="78"/>
      <c r="Z33" s="79"/>
      <c r="AA33" s="92"/>
    </row>
    <row r="34" spans="1:27" ht="28.5" customHeight="1">
      <c r="A34" s="32"/>
      <c r="B34" s="37"/>
      <c r="C34" s="38"/>
      <c r="D34" s="38"/>
      <c r="E34" s="29" t="s">
        <v>26</v>
      </c>
      <c r="F34" s="30">
        <v>35.200000000000003</v>
      </c>
      <c r="G34" s="96">
        <v>42.72</v>
      </c>
      <c r="H34" s="30"/>
      <c r="I34" s="30"/>
      <c r="J34" s="30"/>
      <c r="K34" s="30"/>
      <c r="L34" s="30"/>
      <c r="M34" s="31"/>
      <c r="N34" s="30"/>
      <c r="O34" s="31"/>
      <c r="P34" s="30"/>
      <c r="Q34" s="31"/>
      <c r="R34" s="30"/>
      <c r="S34" s="31"/>
      <c r="T34" s="76"/>
      <c r="U34" s="77"/>
      <c r="V34" s="78"/>
      <c r="W34" s="79"/>
      <c r="X34" s="77"/>
      <c r="Y34" s="78"/>
      <c r="Z34" s="79"/>
      <c r="AA34" s="92"/>
    </row>
    <row r="35" spans="1:27" ht="28.5" customHeight="1">
      <c r="A35" s="32"/>
      <c r="B35" s="37"/>
      <c r="C35" s="38"/>
      <c r="D35" s="38"/>
      <c r="E35" s="29" t="s">
        <v>27</v>
      </c>
      <c r="F35" s="30">
        <v>35.200000000000003</v>
      </c>
      <c r="G35" s="96">
        <v>42.72</v>
      </c>
      <c r="H35" s="30"/>
      <c r="I35" s="30"/>
      <c r="J35" s="30"/>
      <c r="K35" s="30"/>
      <c r="L35" s="30"/>
      <c r="M35" s="31"/>
      <c r="N35" s="30"/>
      <c r="O35" s="31"/>
      <c r="P35" s="30"/>
      <c r="Q35" s="31"/>
      <c r="R35" s="30"/>
      <c r="S35" s="31"/>
      <c r="T35" s="76"/>
      <c r="U35" s="77"/>
      <c r="V35" s="78"/>
      <c r="W35" s="79"/>
      <c r="X35" s="77"/>
      <c r="Y35" s="78"/>
      <c r="Z35" s="79"/>
      <c r="AA35" s="92"/>
    </row>
    <row r="36" spans="1:27" ht="28.5" customHeight="1">
      <c r="A36" s="32"/>
      <c r="B36" s="37"/>
      <c r="C36" s="38"/>
      <c r="D36" s="38"/>
      <c r="E36" s="29" t="s">
        <v>28</v>
      </c>
      <c r="F36" s="30">
        <v>35.200000000000003</v>
      </c>
      <c r="G36" s="96">
        <v>42.72</v>
      </c>
      <c r="H36" s="30"/>
      <c r="I36" s="30"/>
      <c r="J36" s="30"/>
      <c r="K36" s="30"/>
      <c r="L36" s="30"/>
      <c r="M36" s="31"/>
      <c r="N36" s="30"/>
      <c r="O36" s="31"/>
      <c r="P36" s="30"/>
      <c r="Q36" s="31"/>
      <c r="R36" s="30"/>
      <c r="S36" s="31"/>
      <c r="T36" s="76"/>
      <c r="U36" s="77"/>
      <c r="V36" s="78"/>
      <c r="W36" s="79"/>
      <c r="X36" s="77"/>
      <c r="Y36" s="78"/>
      <c r="Z36" s="79"/>
      <c r="AA36" s="92"/>
    </row>
    <row r="37" spans="1:27" ht="28.5" customHeight="1">
      <c r="A37" s="32"/>
      <c r="B37" s="37"/>
      <c r="C37" s="38"/>
      <c r="D37" s="38"/>
      <c r="E37" s="29" t="s">
        <v>29</v>
      </c>
      <c r="F37" s="30">
        <v>35.200000000000003</v>
      </c>
      <c r="G37" s="96">
        <v>42.72</v>
      </c>
      <c r="H37" s="30"/>
      <c r="I37" s="30"/>
      <c r="J37" s="30"/>
      <c r="K37" s="30"/>
      <c r="L37" s="30"/>
      <c r="M37" s="31"/>
      <c r="N37" s="30"/>
      <c r="O37" s="31"/>
      <c r="P37" s="30"/>
      <c r="Q37" s="31"/>
      <c r="R37" s="30"/>
      <c r="S37" s="31"/>
      <c r="T37" s="76"/>
      <c r="U37" s="77"/>
      <c r="V37" s="78"/>
      <c r="W37" s="79"/>
      <c r="X37" s="77"/>
      <c r="Y37" s="78"/>
      <c r="Z37" s="79"/>
      <c r="AA37" s="92"/>
    </row>
    <row r="38" spans="1:27" ht="28.5" customHeight="1">
      <c r="A38" s="32"/>
      <c r="B38" s="37"/>
      <c r="C38" s="38"/>
      <c r="D38" s="38"/>
      <c r="E38" s="29" t="s">
        <v>30</v>
      </c>
      <c r="F38" s="30">
        <v>35.200000000000003</v>
      </c>
      <c r="G38" s="96">
        <v>42.72</v>
      </c>
      <c r="H38" s="30"/>
      <c r="I38" s="30"/>
      <c r="J38" s="30"/>
      <c r="K38" s="30"/>
      <c r="L38" s="30"/>
      <c r="M38" s="31"/>
      <c r="N38" s="30"/>
      <c r="O38" s="31"/>
      <c r="P38" s="30"/>
      <c r="Q38" s="31"/>
      <c r="R38" s="30"/>
      <c r="S38" s="31"/>
      <c r="T38" s="76"/>
      <c r="U38" s="77"/>
      <c r="V38" s="78"/>
      <c r="W38" s="79"/>
      <c r="X38" s="77"/>
      <c r="Y38" s="78"/>
      <c r="Z38" s="79"/>
      <c r="AA38" s="92"/>
    </row>
    <row r="39" spans="1:27" ht="28.5" customHeight="1">
      <c r="A39" s="32"/>
      <c r="B39" s="37"/>
      <c r="C39" s="38"/>
      <c r="D39" s="38"/>
      <c r="E39" s="29" t="s">
        <v>31</v>
      </c>
      <c r="F39" s="30">
        <v>35.200000000000003</v>
      </c>
      <c r="G39" s="96">
        <v>42.72</v>
      </c>
      <c r="H39" s="30"/>
      <c r="I39" s="30"/>
      <c r="J39" s="30"/>
      <c r="K39" s="30"/>
      <c r="L39" s="30"/>
      <c r="M39" s="31"/>
      <c r="N39" s="30"/>
      <c r="O39" s="31"/>
      <c r="P39" s="30"/>
      <c r="Q39" s="31"/>
      <c r="R39" s="30"/>
      <c r="S39" s="31"/>
      <c r="T39" s="76"/>
      <c r="U39" s="77"/>
      <c r="V39" s="78"/>
      <c r="W39" s="79"/>
      <c r="X39" s="77"/>
      <c r="Y39" s="78"/>
      <c r="Z39" s="79"/>
      <c r="AA39" s="92"/>
    </row>
    <row r="40" spans="1:27" ht="28.5" customHeight="1">
      <c r="A40" s="32"/>
      <c r="B40" s="37"/>
      <c r="C40" s="38"/>
      <c r="D40" s="38"/>
      <c r="E40" s="29" t="s">
        <v>32</v>
      </c>
      <c r="F40" s="30">
        <v>35.200000000000003</v>
      </c>
      <c r="G40" s="96">
        <v>42.72</v>
      </c>
      <c r="H40" s="30"/>
      <c r="I40" s="30"/>
      <c r="J40" s="30"/>
      <c r="K40" s="30"/>
      <c r="L40" s="30"/>
      <c r="M40" s="31"/>
      <c r="N40" s="30"/>
      <c r="O40" s="31"/>
      <c r="P40" s="30"/>
      <c r="Q40" s="31"/>
      <c r="R40" s="30"/>
      <c r="S40" s="31"/>
      <c r="T40" s="76"/>
      <c r="U40" s="77"/>
      <c r="V40" s="78"/>
      <c r="W40" s="79"/>
      <c r="X40" s="77"/>
      <c r="Y40" s="78"/>
      <c r="Z40" s="79"/>
      <c r="AA40" s="92"/>
    </row>
    <row r="41" spans="1:27" ht="28.5" customHeight="1">
      <c r="A41" s="32"/>
      <c r="B41" s="37"/>
      <c r="C41" s="38"/>
      <c r="D41" s="38"/>
      <c r="E41" s="29" t="s">
        <v>33</v>
      </c>
      <c r="F41" s="30">
        <v>35.200000000000003</v>
      </c>
      <c r="G41" s="96">
        <v>42.72</v>
      </c>
      <c r="H41" s="30"/>
      <c r="I41" s="30"/>
      <c r="J41" s="30"/>
      <c r="K41" s="30"/>
      <c r="L41" s="30"/>
      <c r="M41" s="31"/>
      <c r="N41" s="30"/>
      <c r="O41" s="31"/>
      <c r="P41" s="30"/>
      <c r="Q41" s="31"/>
      <c r="R41" s="30"/>
      <c r="S41" s="31"/>
      <c r="T41" s="76"/>
      <c r="U41" s="77"/>
      <c r="V41" s="78"/>
      <c r="W41" s="79"/>
      <c r="X41" s="77"/>
      <c r="Y41" s="78"/>
      <c r="Z41" s="79"/>
      <c r="AA41" s="92"/>
    </row>
    <row r="42" spans="1:27" ht="28.5" customHeight="1">
      <c r="A42" s="32"/>
      <c r="B42" s="37"/>
      <c r="C42" s="38"/>
      <c r="D42" s="38"/>
      <c r="E42" s="29" t="s">
        <v>34</v>
      </c>
      <c r="F42" s="30">
        <v>35.200000000000003</v>
      </c>
      <c r="G42" s="96">
        <v>42.72</v>
      </c>
      <c r="H42" s="30"/>
      <c r="I42" s="30"/>
      <c r="J42" s="30"/>
      <c r="K42" s="30"/>
      <c r="L42" s="30"/>
      <c r="M42" s="31"/>
      <c r="N42" s="30"/>
      <c r="O42" s="31"/>
      <c r="P42" s="30"/>
      <c r="Q42" s="31"/>
      <c r="R42" s="30"/>
      <c r="S42" s="31"/>
      <c r="T42" s="76"/>
      <c r="U42" s="77"/>
      <c r="V42" s="78"/>
      <c r="W42" s="79"/>
      <c r="X42" s="77"/>
      <c r="Y42" s="78"/>
      <c r="Z42" s="79"/>
      <c r="AA42" s="92"/>
    </row>
    <row r="43" spans="1:27" ht="28.5" customHeight="1">
      <c r="A43" s="32"/>
      <c r="B43" s="37"/>
      <c r="C43" s="38"/>
      <c r="D43" s="38"/>
      <c r="E43" s="29" t="s">
        <v>35</v>
      </c>
      <c r="F43" s="30">
        <v>35.200000000000003</v>
      </c>
      <c r="G43" s="96">
        <v>42.72</v>
      </c>
      <c r="H43" s="30"/>
      <c r="I43" s="30"/>
      <c r="J43" s="30"/>
      <c r="K43" s="30"/>
      <c r="L43" s="30"/>
      <c r="M43" s="31"/>
      <c r="N43" s="30"/>
      <c r="O43" s="31"/>
      <c r="P43" s="30"/>
      <c r="Q43" s="31"/>
      <c r="R43" s="30"/>
      <c r="S43" s="31"/>
      <c r="T43" s="76"/>
      <c r="U43" s="77"/>
      <c r="V43" s="78"/>
      <c r="W43" s="79"/>
      <c r="X43" s="77"/>
      <c r="Y43" s="78"/>
      <c r="Z43" s="79"/>
      <c r="AA43" s="92"/>
    </row>
    <row r="44" spans="1:27" ht="28.5" customHeight="1">
      <c r="A44" s="32"/>
      <c r="B44" s="37"/>
      <c r="C44" s="39"/>
      <c r="D44" s="39"/>
      <c r="E44" s="40" t="s">
        <v>36</v>
      </c>
      <c r="F44" s="41">
        <f t="shared" ref="F44:K44" si="0">AVERAGE(F20:F43)</f>
        <v>35.20000000000001</v>
      </c>
      <c r="G44" s="41">
        <f t="shared" si="0"/>
        <v>42.72000000000002</v>
      </c>
      <c r="H44" s="41" t="e">
        <f t="shared" si="0"/>
        <v>#DIV/0!</v>
      </c>
      <c r="I44" s="41" t="e">
        <f t="shared" si="0"/>
        <v>#DIV/0!</v>
      </c>
      <c r="J44" s="41" t="e">
        <f t="shared" si="0"/>
        <v>#DIV/0!</v>
      </c>
      <c r="K44" s="41" t="e">
        <f t="shared" si="0"/>
        <v>#DIV/0!</v>
      </c>
      <c r="L44" s="41"/>
      <c r="M44" s="41"/>
      <c r="N44" s="41"/>
      <c r="O44" s="41"/>
      <c r="P44" s="41"/>
      <c r="Q44" s="41"/>
      <c r="R44" s="41"/>
      <c r="S44" s="41"/>
      <c r="T44" s="80"/>
      <c r="U44" s="81"/>
      <c r="V44" s="81"/>
      <c r="W44" s="82"/>
      <c r="X44" s="81"/>
      <c r="Y44" s="81"/>
      <c r="Z44" s="82"/>
      <c r="AA44" s="92"/>
    </row>
    <row r="45" spans="1:27" ht="28.5" customHeight="1">
      <c r="A45" s="32"/>
      <c r="B45" s="37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55"/>
      <c r="N45" s="55"/>
      <c r="O45" s="55"/>
      <c r="P45" s="34"/>
      <c r="Q45" s="34"/>
      <c r="R45" s="34"/>
      <c r="S45" s="34"/>
      <c r="T45" s="34"/>
      <c r="U45" s="34"/>
      <c r="V45" s="39"/>
      <c r="W45" s="39"/>
      <c r="X45" s="83"/>
      <c r="Y45" s="83"/>
      <c r="Z45" s="83"/>
      <c r="AA45" s="92"/>
    </row>
    <row r="46" spans="1:27" ht="28.5" customHeight="1">
      <c r="A46" s="7"/>
      <c r="B46" s="20"/>
      <c r="C46" s="126" t="s">
        <v>41</v>
      </c>
      <c r="D46" s="126"/>
      <c r="E46" s="126"/>
      <c r="F46" s="126"/>
      <c r="G46" s="126"/>
      <c r="H46" s="42"/>
      <c r="I46" s="94"/>
      <c r="J46" s="20"/>
      <c r="K46" s="20"/>
      <c r="L46" s="20"/>
      <c r="M46" s="20"/>
      <c r="N46" s="127"/>
      <c r="O46" s="128"/>
      <c r="P46" s="128"/>
      <c r="Q46" s="128"/>
      <c r="R46" s="128"/>
      <c r="S46" s="129"/>
      <c r="AA46" s="92"/>
    </row>
    <row r="47" spans="1:27" ht="28.5" customHeight="1">
      <c r="A47" s="7"/>
      <c r="B47" s="13"/>
      <c r="C47" s="43" t="s">
        <v>37</v>
      </c>
      <c r="D47" s="125"/>
      <c r="E47" s="125"/>
      <c r="F47" s="125"/>
      <c r="G47" s="125"/>
      <c r="H47" s="44"/>
      <c r="I47" s="44"/>
      <c r="J47" s="12"/>
      <c r="K47" s="12"/>
      <c r="L47" s="56"/>
      <c r="M47" s="56"/>
      <c r="N47" s="57"/>
      <c r="O47" s="58"/>
      <c r="P47" s="59"/>
      <c r="Q47" s="84"/>
      <c r="R47" s="84"/>
      <c r="S47" s="85"/>
      <c r="AA47" s="92"/>
    </row>
    <row r="48" spans="1:27" ht="28.5" customHeight="1">
      <c r="A48" s="7"/>
      <c r="B48" s="26"/>
      <c r="C48" s="43" t="s">
        <v>38</v>
      </c>
      <c r="D48" s="125"/>
      <c r="E48" s="125"/>
      <c r="F48" s="125"/>
      <c r="G48" s="125"/>
      <c r="H48" s="13"/>
      <c r="I48" s="13"/>
      <c r="J48" s="12"/>
      <c r="K48" s="12"/>
      <c r="L48" s="56"/>
      <c r="M48" s="56"/>
      <c r="N48" s="57"/>
      <c r="O48" s="58"/>
      <c r="P48" s="59"/>
      <c r="Q48" s="84"/>
      <c r="R48" s="84"/>
      <c r="S48" s="85"/>
      <c r="AA48" s="92"/>
    </row>
    <row r="49" spans="1:27" ht="28.5" customHeight="1">
      <c r="A49" s="32"/>
      <c r="B49" s="13"/>
      <c r="C49" s="123" t="s">
        <v>39</v>
      </c>
      <c r="D49" s="125"/>
      <c r="E49" s="125"/>
      <c r="F49" s="125"/>
      <c r="G49" s="125"/>
      <c r="H49" s="13"/>
      <c r="I49" s="13"/>
      <c r="J49" s="12"/>
      <c r="K49" s="12"/>
      <c r="L49" s="56"/>
      <c r="M49" s="56"/>
      <c r="N49" s="60"/>
      <c r="O49" s="61"/>
      <c r="P49" s="62"/>
      <c r="Q49" s="86"/>
      <c r="R49" s="86"/>
      <c r="S49" s="85"/>
      <c r="AA49" s="92"/>
    </row>
    <row r="50" spans="1:27" ht="28.5" customHeight="1">
      <c r="A50" s="32"/>
      <c r="B50" s="13"/>
      <c r="C50" s="123"/>
      <c r="D50" s="125"/>
      <c r="E50" s="125"/>
      <c r="F50" s="125"/>
      <c r="G50" s="125"/>
      <c r="H50" s="13"/>
      <c r="I50" s="13"/>
      <c r="J50" s="12"/>
      <c r="K50" s="12"/>
      <c r="L50" s="56"/>
      <c r="M50" s="56"/>
      <c r="N50" s="60"/>
      <c r="O50" s="61"/>
      <c r="P50" s="62"/>
      <c r="Q50" s="86"/>
      <c r="R50" s="86"/>
      <c r="S50" s="85"/>
      <c r="AA50" s="92"/>
    </row>
    <row r="51" spans="1:27" ht="28.5" customHeight="1">
      <c r="A51" s="32"/>
      <c r="B51" s="13"/>
      <c r="C51" s="43" t="s">
        <v>10</v>
      </c>
      <c r="D51" s="130">
        <f>E4</f>
        <v>44650</v>
      </c>
      <c r="E51" s="130"/>
      <c r="F51" s="130"/>
      <c r="G51" s="130"/>
      <c r="H51" s="13"/>
      <c r="I51" s="13"/>
      <c r="J51" s="12"/>
      <c r="K51" s="12"/>
      <c r="L51" s="63"/>
      <c r="M51" s="64"/>
      <c r="N51" s="65"/>
      <c r="O51" s="66"/>
      <c r="P51" s="67"/>
      <c r="Q51" s="66"/>
      <c r="R51" s="66"/>
      <c r="S51" s="87"/>
      <c r="AA51" s="92"/>
    </row>
    <row r="52" spans="1:27" ht="28.5" customHeight="1" thickBot="1">
      <c r="A52" s="121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45"/>
      <c r="AA52" s="93"/>
    </row>
    <row r="53" spans="1:27" ht="28.5" customHeight="1" thickTop="1">
      <c r="B53" s="46"/>
      <c r="G53" s="46"/>
      <c r="H53" s="46"/>
      <c r="I53" s="46"/>
      <c r="J53" s="46"/>
      <c r="K53" s="46"/>
      <c r="L53" s="46"/>
      <c r="M53" s="46"/>
      <c r="N53" s="46"/>
      <c r="O53" s="46"/>
      <c r="V53" s="46"/>
      <c r="W53" s="46"/>
    </row>
    <row r="54" spans="1:27" ht="28.5" customHeight="1">
      <c r="G54" s="47"/>
      <c r="H54" s="47"/>
      <c r="I54" s="47"/>
      <c r="P54" s="47"/>
      <c r="Q54" s="47"/>
    </row>
  </sheetData>
  <sheetProtection formatCells="0" formatColumns="0" formatRows="0" insertColumns="0" insertRows="0" insertHyperlinks="0" deleteColumns="0" deleteRows="0" sort="0" autoFilter="0" pivotTables="0"/>
  <mergeCells count="27">
    <mergeCell ref="L18:M18"/>
    <mergeCell ref="N18:O18"/>
    <mergeCell ref="P18:Q18"/>
    <mergeCell ref="R18:S18"/>
    <mergeCell ref="B2:Y2"/>
    <mergeCell ref="F17:G17"/>
    <mergeCell ref="H17:I17"/>
    <mergeCell ref="J17:K17"/>
    <mergeCell ref="L17:M17"/>
    <mergeCell ref="N17:O17"/>
    <mergeCell ref="P17:Q17"/>
    <mergeCell ref="D51:G51"/>
    <mergeCell ref="A52:Y52"/>
    <mergeCell ref="E10:J10"/>
    <mergeCell ref="E11:I11"/>
    <mergeCell ref="J11:J12"/>
    <mergeCell ref="C46:G46"/>
    <mergeCell ref="N46:S46"/>
    <mergeCell ref="D47:G47"/>
    <mergeCell ref="D48:G48"/>
    <mergeCell ref="C49:C50"/>
    <mergeCell ref="D49:G50"/>
    <mergeCell ref="R17:S17"/>
    <mergeCell ref="E18:E19"/>
    <mergeCell ref="F18:G18"/>
    <mergeCell ref="H18:I18"/>
    <mergeCell ref="J18:K18"/>
  </mergeCells>
  <printOptions horizontalCentered="1"/>
  <pageMargins left="0.511811023622047" right="0.511811023622047" top="0.98425196850393704" bottom="0.98425196850393704" header="0.39370078740157499" footer="0.39370078740157499"/>
  <pageSetup paperSize="9" scale="35" orientation="landscape" horizontalDpi="300" verticalDpi="300" r:id="rId1"/>
  <headerFooter alignWithMargins="0">
    <oddHeader>&amp;R&amp;"Arial,Regular"LAMPIRAN 5</oddHeader>
    <oddFooter>&amp;LREVISI III SOP PGN - PLN MUARA TAWAR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6BB31198069747BD7124EC5EBC9850" ma:contentTypeVersion="7" ma:contentTypeDescription="Create a new document." ma:contentTypeScope="" ma:versionID="a85b7e2d46ef1aa7f5a1cc2179319010">
  <xsd:schema xmlns:xsd="http://www.w3.org/2001/XMLSchema" xmlns:xs="http://www.w3.org/2001/XMLSchema" xmlns:p="http://schemas.microsoft.com/office/2006/metadata/properties" xmlns:ns3="6e736ed8-fa40-42bb-82c7-5b5bffae5fde" targetNamespace="http://schemas.microsoft.com/office/2006/metadata/properties" ma:root="true" ma:fieldsID="cc2c785091d4c279a8ff1f654bdb63e5" ns3:_="">
    <xsd:import namespace="6e736ed8-fa40-42bb-82c7-5b5bffae5f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36ed8-fa40-42bb-82c7-5b5bffae5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8827E1-6480-4879-BB7C-CC6CEF6F9A4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e736ed8-fa40-42bb-82c7-5b5bffae5fd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411FAE-8443-404D-9645-F9B9CF64EC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744C35-A8A9-40A3-A075-FD5777CABACD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Form Nominasi GSA LNG</vt:lpstr>
      <vt:lpstr>Sept - Okt</vt:lpstr>
      <vt:lpstr>'Form Nominasi GSA LNG'!Print_Area</vt:lpstr>
      <vt:lpstr>'Sept - Okt'!Print_Area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Adhenhari Musfaro</dc:creator>
  <cp:lastModifiedBy>Rifkhy Fauzan</cp:lastModifiedBy>
  <cp:lastPrinted>2020-01-14T02:21:00Z</cp:lastPrinted>
  <dcterms:created xsi:type="dcterms:W3CDTF">2018-08-01T13:41:00Z</dcterms:created>
  <dcterms:modified xsi:type="dcterms:W3CDTF">2026-06-26T06:01:07Z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0x0101001D6BB31198069747BD7124EC5EBC9850</vt:lpwstr>
  </property>
  <property fmtid="{D5CDD505-2E9C-101B-9397-08002B2CF9AE}" pid="3" name="KSOProductBuildVer">
    <vt:lpwstr>1033-11.2.0.10101</vt:lpwstr>
  </property>
</Properties>
</file>